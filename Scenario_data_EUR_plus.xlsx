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198770ba2d695f8/Documents/MasterThesis/CIRED/EOLES/Passa_Philippe/"/>
    </mc:Choice>
  </mc:AlternateContent>
  <xr:revisionPtr revIDLastSave="962" documentId="8_{BA1AFA72-7ABC-48D4-802B-4BE08DE679D5}" xr6:coauthVersionLast="47" xr6:coauthVersionMax="47" xr10:uidLastSave="{3581754C-F941-4C51-853D-A850322D9914}"/>
  <bookViews>
    <workbookView xWindow="-108" yWindow="-108" windowWidth="23256" windowHeight="12456" firstSheet="9" activeTab="12" xr2:uid="{00000000-000D-0000-FFFF-FFFF00000000}"/>
  </bookViews>
  <sheets>
    <sheet name="Légende - Sources" sheetId="1" r:id="rId1"/>
    <sheet name="ACCUEIL" sheetId="3" r:id="rId2"/>
    <sheet name="Data_EOLES" sheetId="25" r:id="rId3"/>
    <sheet name="traitement_nW_EOLES" sheetId="24" r:id="rId4"/>
    <sheet name="create_demand_param" sheetId="28" r:id="rId5"/>
    <sheet name="Constants" sheetId="4" r:id="rId6"/>
    <sheet name="Costs" sheetId="2" r:id="rId7"/>
    <sheet name="fuel_prices" sheetId="16" r:id="rId8"/>
    <sheet name="tech_parameters" sheetId="12" r:id="rId9"/>
    <sheet name="reserve" sheetId="13" r:id="rId10"/>
    <sheet name="exist_cap" sheetId="5" r:id="rId11"/>
    <sheet name="exist_en_cap" sheetId="7" r:id="rId12"/>
    <sheet name="min_cap" sheetId="18" r:id="rId13"/>
    <sheet name="min_en_cap" sheetId="19" r:id="rId14"/>
    <sheet name="fix_cap" sheetId="8" state="hidden" r:id="rId15"/>
    <sheet name="fix_en_cap" sheetId="9" state="hidden" r:id="rId16"/>
    <sheet name="biogas_potential" sheetId="15" r:id="rId17"/>
    <sheet name="max_cap" sheetId="10" r:id="rId18"/>
    <sheet name="max_en_cap" sheetId="11" r:id="rId19"/>
    <sheet name="links" sheetId="14" r:id="rId20"/>
    <sheet name="demande_EU" sheetId="17" r:id="rId21"/>
    <sheet name="calculs_intermédiaires" sheetId="21" r:id="rId22"/>
    <sheet name="bilans" sheetId="29" r:id="rId23"/>
  </sheets>
  <definedNames>
    <definedName name="___" hidden="1">#NAME?</definedName>
    <definedName name="__123Graph_A" hidden="1">#REF!</definedName>
    <definedName name="__123Graph_AGraphique1" hidden="1">#REF!</definedName>
    <definedName name="__123Graph_AGraphique8" hidden="1">#REF!</definedName>
    <definedName name="__123Graph_B" hidden="1">#REF!</definedName>
    <definedName name="__123Graph_BGraphique1" hidden="1">#REF!</definedName>
    <definedName name="__123Graph_C" hidden="1">#REF!</definedName>
    <definedName name="__123Graph_CGraphique1" hidden="1">#REF!</definedName>
    <definedName name="__123Graph_D" hidden="1">#REF!</definedName>
    <definedName name="__123Graph_DGraphique1" hidden="1">#REF!</definedName>
    <definedName name="__123Graph_E" hidden="1">#REF!</definedName>
    <definedName name="__123Graph_EGraphique1" hidden="1">#REF!</definedName>
    <definedName name="__123Graph_F" hidden="1">#REF!</definedName>
    <definedName name="__123Graph_FGraphique1" hidden="1">#REF!</definedName>
    <definedName name="__123Graph_X" hidden="1">#REF!</definedName>
    <definedName name="__123Graph_XGraphique1" hidden="1">#REF!</definedName>
    <definedName name="_xlnm._FilterDatabase" localSheetId="2" hidden="1">Data_EOLES!$A$1:$BI$129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" hidden="1">#NAME?</definedName>
    <definedName name="An">IF(CLEVER=TRUE,MIN(80,choix_an+29),choix_an+29)</definedName>
    <definedName name="An_calcul">[0]!choix_an_calcul+29</definedName>
    <definedName name="Analysis_Services_TWh" hidden="1">#NAME?</definedName>
    <definedName name="Cep_biomasse">1</definedName>
    <definedName name="Cep_fossiles">1</definedName>
    <definedName name="Cep_géothermie">1</definedName>
    <definedName name="ConvC02C">(12+16*2)/12</definedName>
    <definedName name="ConvCO2C">(12+16*2)/12</definedName>
    <definedName name="ConvGWhVersTep">86</definedName>
    <definedName name="ConvVPMLenMtep">0.806</definedName>
    <definedName name="DiesterTep">0.000807</definedName>
    <definedName name="EssenceTep">0.000786</definedName>
    <definedName name="F_choix">IF(#REF!="S",IF(sobriété=TRUE,#REF!,#REF!),IF(#REF!="E",IF(efficacité=TRUE,#REF!,#REF!),IF(#REF!="EN",IF(ENR=TRUE,#REF!,#REF!),#REF!)))</definedName>
    <definedName name="G">1000000000</definedName>
    <definedName name="GazoleTep">0.000845</definedName>
    <definedName name="gfdgfds" hidden="1">#NAME?</definedName>
    <definedName name="GNVTep">0.000811</definedName>
    <definedName name="Graph1" hidden="1">#NAME?</definedName>
    <definedName name="Graph2" hidden="1">#NAME?</definedName>
    <definedName name="Graph3" hidden="1">#NAME?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"02/19/2017 17:40:48"</definedName>
    <definedName name="IQ_QTD" hidden="1">750000</definedName>
    <definedName name="IQ_TODAY" hidden="1">0</definedName>
    <definedName name="IQ_YTDMONTH" hidden="1">130000</definedName>
    <definedName name="k">1000</definedName>
    <definedName name="KérozèneTep">0.000828</definedName>
    <definedName name="M">1000000</definedName>
    <definedName name="Mtep_TWh">11.628</definedName>
    <definedName name="MtepenTWh">0.086</definedName>
    <definedName name="Nh_an">8760</definedName>
    <definedName name="nonpivot" hidden="1">#NAME?</definedName>
    <definedName name="P">PI()/180</definedName>
    <definedName name="PCI_PCS_biomasse">IF(#REF!=1,1,PCS_biomasse)</definedName>
    <definedName name="PCI_PCS_charbon">IF(#REF!=1,1,PCS_charbon)</definedName>
    <definedName name="PCI_PCS_dechets">IF(PCS_PCI=1,1,PCS_dechets)</definedName>
    <definedName name="PCI_PCS_gaz">IF(#REF!=1,1,PCS_GN)</definedName>
    <definedName name="PCI_PCS_H2">IF(#REF!=1,1,PCS_H2)</definedName>
    <definedName name="PCI_PCS_petrole">IF(#REF!=1,1,PCS_petrole)</definedName>
    <definedName name="PCS_biomasse">1.09</definedName>
    <definedName name="PCS_biomasse_solide">1.09</definedName>
    <definedName name="PCS_charbon">1.052</definedName>
    <definedName name="PCS_dechets">1.064</definedName>
    <definedName name="PCS_fioul">1.075</definedName>
    <definedName name="PCS_gaz">1.111</definedName>
    <definedName name="PCS_GN">1.111</definedName>
    <definedName name="PCS_GPL">1.087</definedName>
    <definedName name="PCS_H2">141860/119930</definedName>
    <definedName name="PCS_PCI">IF(#REF!=TRUE,2,#REF!)</definedName>
    <definedName name="PCS_PCI_biomasse">IF(PCS_PCI=1,PCS_biomasse,1)</definedName>
    <definedName name="PCS_PCI_charbon">IF(PCS_PCI=1,PCS_charbon,1)</definedName>
    <definedName name="PCS_PCI_dechets">IF(PCS_PCI=1,PCS_dechets,1)</definedName>
    <definedName name="PCS_PCI_gaz">IF(PCS_PCI=1,PCS_GN,1)</definedName>
    <definedName name="PCS_PCI_GPL">IF(PCS_PCI=1,PCS_GPL,1)</definedName>
    <definedName name="PCS_PCI_H2">IF(PCS_PCI=1,PCS_H2,1)</definedName>
    <definedName name="PCS_PCI_petrole">IF(PCS_PCI=1,PCS_petrole,1)</definedName>
    <definedName name="PCS_petrole">1.075</definedName>
    <definedName name="pi">PI()</definedName>
    <definedName name="sdf" hidden="1">#NAME?</definedName>
    <definedName name="SHAB_SHON">1</definedName>
    <definedName name="ss" hidden="1">#NAME?</definedName>
    <definedName name="T">10^12</definedName>
    <definedName name="TepTWh">11.63*10^-6</definedName>
    <definedName name="TWh_GJ">3600000</definedName>
    <definedName name="year_simulated">Constants!$B$2</definedName>
    <definedName name="ZZZ" hidden="1">#NAME?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8" l="1"/>
  <c r="D9" i="18"/>
  <c r="E9" i="18"/>
  <c r="F9" i="18"/>
  <c r="G9" i="18"/>
  <c r="H9" i="18"/>
  <c r="I9" i="18"/>
  <c r="J9" i="18"/>
  <c r="K9" i="18"/>
  <c r="C10" i="18"/>
  <c r="D10" i="18"/>
  <c r="E10" i="18"/>
  <c r="F10" i="18"/>
  <c r="G10" i="18"/>
  <c r="H10" i="18"/>
  <c r="I10" i="18"/>
  <c r="J10" i="18"/>
  <c r="K10" i="18"/>
  <c r="C11" i="18"/>
  <c r="D11" i="18"/>
  <c r="E11" i="18"/>
  <c r="F11" i="18"/>
  <c r="G11" i="18"/>
  <c r="H11" i="18"/>
  <c r="I11" i="18"/>
  <c r="J11" i="18"/>
  <c r="K11" i="18"/>
  <c r="C12" i="18"/>
  <c r="D12" i="18"/>
  <c r="E12" i="18"/>
  <c r="F12" i="18"/>
  <c r="G12" i="18"/>
  <c r="H12" i="18"/>
  <c r="I12" i="18"/>
  <c r="J12" i="18"/>
  <c r="K12" i="18"/>
  <c r="D8" i="18"/>
  <c r="E8" i="18"/>
  <c r="F8" i="18"/>
  <c r="G8" i="18"/>
  <c r="H8" i="18"/>
  <c r="I8" i="18"/>
  <c r="J8" i="18"/>
  <c r="K8" i="18"/>
  <c r="C5" i="18"/>
  <c r="C6" i="18"/>
  <c r="C7" i="18"/>
  <c r="C8" i="18"/>
  <c r="F4" i="18"/>
  <c r="G4" i="18"/>
  <c r="H4" i="18"/>
  <c r="I4" i="18"/>
  <c r="J4" i="18"/>
  <c r="K4" i="18"/>
  <c r="F5" i="18"/>
  <c r="G5" i="18"/>
  <c r="H5" i="18"/>
  <c r="I5" i="18"/>
  <c r="J5" i="18"/>
  <c r="K5" i="18"/>
  <c r="F6" i="18"/>
  <c r="G6" i="18"/>
  <c r="H6" i="18"/>
  <c r="I6" i="18"/>
  <c r="J6" i="18"/>
  <c r="K6" i="18"/>
  <c r="F7" i="18"/>
  <c r="G7" i="18"/>
  <c r="H7" i="18"/>
  <c r="I7" i="18"/>
  <c r="J7" i="18"/>
  <c r="K7" i="18"/>
  <c r="E5" i="18"/>
  <c r="E6" i="18"/>
  <c r="E7" i="18"/>
  <c r="D2" i="18"/>
  <c r="E2" i="18"/>
  <c r="F2" i="18"/>
  <c r="G2" i="18"/>
  <c r="H2" i="18"/>
  <c r="I2" i="18"/>
  <c r="J2" i="18"/>
  <c r="K2" i="18"/>
  <c r="D3" i="18"/>
  <c r="E3" i="18"/>
  <c r="F3" i="18"/>
  <c r="G3" i="18"/>
  <c r="H3" i="18"/>
  <c r="I3" i="18"/>
  <c r="J3" i="18"/>
  <c r="K3" i="18"/>
  <c r="D4" i="18"/>
  <c r="E4" i="18"/>
  <c r="C3" i="18"/>
  <c r="C4" i="18"/>
  <c r="D6" i="18"/>
  <c r="D7" i="18"/>
  <c r="D5" i="18"/>
  <c r="C2" i="18"/>
  <c r="B3" i="18"/>
  <c r="B4" i="18"/>
  <c r="B5" i="18"/>
  <c r="B6" i="18"/>
  <c r="B7" i="18"/>
  <c r="B8" i="18"/>
  <c r="B9" i="18"/>
  <c r="B10" i="18"/>
  <c r="B11" i="18"/>
  <c r="B12" i="18"/>
  <c r="B2" i="18"/>
  <c r="D7" i="10"/>
  <c r="D6" i="10"/>
  <c r="D5" i="10"/>
  <c r="B33" i="18"/>
  <c r="D14" i="18"/>
  <c r="E14" i="18"/>
  <c r="F14" i="18"/>
  <c r="G14" i="18"/>
  <c r="H14" i="18"/>
  <c r="I14" i="18"/>
  <c r="J14" i="18"/>
  <c r="K14" i="18"/>
  <c r="C14" i="18"/>
  <c r="F8" i="10"/>
  <c r="K94" i="29"/>
  <c r="C34" i="18"/>
  <c r="D34" i="18"/>
  <c r="E34" i="18"/>
  <c r="F34" i="18"/>
  <c r="G34" i="18"/>
  <c r="H34" i="18"/>
  <c r="I34" i="18"/>
  <c r="J34" i="18"/>
  <c r="K34" i="18"/>
  <c r="C35" i="18"/>
  <c r="D35" i="18"/>
  <c r="E35" i="18"/>
  <c r="F35" i="18"/>
  <c r="G35" i="18"/>
  <c r="H35" i="18"/>
  <c r="I35" i="18"/>
  <c r="J35" i="18"/>
  <c r="K35" i="18"/>
  <c r="B35" i="18"/>
  <c r="B34" i="18"/>
  <c r="D19" i="18"/>
  <c r="E19" i="18"/>
  <c r="F19" i="18"/>
  <c r="G19" i="18"/>
  <c r="H19" i="18"/>
  <c r="I19" i="18"/>
  <c r="J19" i="18"/>
  <c r="K19" i="18"/>
  <c r="C19" i="18"/>
  <c r="C20" i="18"/>
  <c r="D20" i="18"/>
  <c r="E20" i="18"/>
  <c r="F20" i="18"/>
  <c r="G20" i="18"/>
  <c r="H20" i="18"/>
  <c r="I20" i="18"/>
  <c r="J20" i="18"/>
  <c r="K20" i="18"/>
  <c r="K19" i="5"/>
  <c r="J19" i="5"/>
  <c r="I19" i="5"/>
  <c r="H19" i="5"/>
  <c r="G19" i="5"/>
  <c r="F19" i="5"/>
  <c r="E19" i="5"/>
  <c r="D19" i="5"/>
  <c r="C19" i="5"/>
  <c r="K9" i="5"/>
  <c r="J9" i="5"/>
  <c r="I9" i="5"/>
  <c r="H9" i="5"/>
  <c r="G9" i="5"/>
  <c r="F9" i="5"/>
  <c r="E9" i="5"/>
  <c r="D9" i="5"/>
  <c r="C9" i="5"/>
  <c r="K8" i="5"/>
  <c r="J8" i="5"/>
  <c r="I8" i="5"/>
  <c r="H8" i="5"/>
  <c r="G8" i="5"/>
  <c r="F8" i="5"/>
  <c r="E8" i="5"/>
  <c r="D8" i="5"/>
  <c r="C8" i="5"/>
  <c r="B8" i="5" a="1"/>
  <c r="B29" i="10" a="1"/>
  <c r="K19" i="10"/>
  <c r="J19" i="10"/>
  <c r="I19" i="10"/>
  <c r="H19" i="10"/>
  <c r="G19" i="10"/>
  <c r="F19" i="10"/>
  <c r="E19" i="10"/>
  <c r="D19" i="10"/>
  <c r="C19" i="10"/>
  <c r="B19" i="10" a="1"/>
  <c r="B19" i="18" s="1"/>
  <c r="K15" i="10"/>
  <c r="J15" i="10"/>
  <c r="I15" i="10"/>
  <c r="H15" i="10"/>
  <c r="G15" i="10"/>
  <c r="F15" i="10"/>
  <c r="E15" i="10"/>
  <c r="D15" i="10"/>
  <c r="C15" i="10"/>
  <c r="B15" i="10"/>
  <c r="K14" i="10"/>
  <c r="J14" i="10"/>
  <c r="I14" i="10"/>
  <c r="H14" i="10"/>
  <c r="G14" i="10"/>
  <c r="F14" i="10"/>
  <c r="E14" i="10"/>
  <c r="D14" i="10"/>
  <c r="C14" i="10"/>
  <c r="B14" i="10" a="1"/>
  <c r="B14" i="18" s="1"/>
  <c r="K13" i="10"/>
  <c r="J13" i="10"/>
  <c r="I13" i="10"/>
  <c r="H13" i="10"/>
  <c r="G13" i="10"/>
  <c r="F13" i="10"/>
  <c r="E13" i="10"/>
  <c r="D13" i="10"/>
  <c r="C13" i="10"/>
  <c r="K12" i="10"/>
  <c r="J12" i="10"/>
  <c r="I12" i="10"/>
  <c r="H12" i="10"/>
  <c r="G12" i="10"/>
  <c r="F12" i="10"/>
  <c r="E12" i="10"/>
  <c r="D12" i="10"/>
  <c r="C12" i="10"/>
  <c r="B12" i="10" a="1"/>
  <c r="K11" i="10"/>
  <c r="J11" i="10"/>
  <c r="I11" i="10"/>
  <c r="H11" i="10"/>
  <c r="G11" i="10"/>
  <c r="F11" i="10"/>
  <c r="E11" i="10"/>
  <c r="D11" i="10"/>
  <c r="C11" i="10"/>
  <c r="B11" i="10" a="1"/>
  <c r="K10" i="10"/>
  <c r="J10" i="10"/>
  <c r="I10" i="10"/>
  <c r="H10" i="10"/>
  <c r="G10" i="10"/>
  <c r="F10" i="10"/>
  <c r="E10" i="10"/>
  <c r="D10" i="10"/>
  <c r="C10" i="10"/>
  <c r="K9" i="10"/>
  <c r="J9" i="10"/>
  <c r="I9" i="10"/>
  <c r="H9" i="10"/>
  <c r="G9" i="10"/>
  <c r="F9" i="10"/>
  <c r="E9" i="10"/>
  <c r="D9" i="10"/>
  <c r="C9" i="10"/>
  <c r="B9" i="10" a="1"/>
  <c r="K8" i="10"/>
  <c r="J8" i="10"/>
  <c r="I8" i="10"/>
  <c r="H8" i="10"/>
  <c r="G8" i="10"/>
  <c r="E8" i="10"/>
  <c r="D8" i="10"/>
  <c r="C8" i="10"/>
  <c r="B8" i="10" a="1"/>
  <c r="K7" i="10"/>
  <c r="J7" i="10"/>
  <c r="I7" i="10"/>
  <c r="H7" i="10"/>
  <c r="G7" i="10"/>
  <c r="F7" i="10"/>
  <c r="E7" i="10"/>
  <c r="C7" i="10"/>
  <c r="B7" i="10" a="1"/>
  <c r="K6" i="10"/>
  <c r="J6" i="10"/>
  <c r="I6" i="10"/>
  <c r="H6" i="10"/>
  <c r="G6" i="10"/>
  <c r="F6" i="10"/>
  <c r="E6" i="10"/>
  <c r="C6" i="10"/>
  <c r="B6" i="10" a="1"/>
  <c r="K5" i="10"/>
  <c r="J5" i="10"/>
  <c r="I5" i="10"/>
  <c r="H5" i="10"/>
  <c r="G5" i="10"/>
  <c r="F5" i="10"/>
  <c r="E5" i="10"/>
  <c r="C5" i="10"/>
  <c r="B5" i="10" a="1"/>
  <c r="K4" i="10"/>
  <c r="J4" i="10"/>
  <c r="I4" i="10"/>
  <c r="H4" i="10"/>
  <c r="G4" i="10"/>
  <c r="F4" i="10"/>
  <c r="E4" i="10"/>
  <c r="D4" i="10"/>
  <c r="C4" i="10"/>
  <c r="B4" i="10" a="1"/>
  <c r="K3" i="10"/>
  <c r="J3" i="10"/>
  <c r="I3" i="10"/>
  <c r="H3" i="10"/>
  <c r="G3" i="10"/>
  <c r="F3" i="10"/>
  <c r="E3" i="10"/>
  <c r="D3" i="10"/>
  <c r="C3" i="10"/>
  <c r="B3" i="10" a="1"/>
  <c r="K2" i="10"/>
  <c r="J2" i="10"/>
  <c r="I2" i="10"/>
  <c r="H2" i="10"/>
  <c r="G2" i="10"/>
  <c r="F2" i="10"/>
  <c r="E2" i="10"/>
  <c r="D2" i="10"/>
  <c r="C2" i="10"/>
  <c r="B2" i="10" a="1"/>
  <c r="C29" i="24"/>
  <c r="C26" i="24"/>
  <c r="C30" i="24" a="1"/>
  <c r="C27" i="24" a="1"/>
  <c r="AO3" i="25"/>
  <c r="D2" i="17"/>
  <c r="J116" i="29"/>
  <c r="I116" i="29"/>
  <c r="J117" i="29" s="1"/>
  <c r="H116" i="29"/>
  <c r="F116" i="29"/>
  <c r="E116" i="29"/>
  <c r="C116" i="29"/>
  <c r="G115" i="29"/>
  <c r="G114" i="29"/>
  <c r="D114" i="29"/>
  <c r="G113" i="29"/>
  <c r="D113" i="29"/>
  <c r="G112" i="29"/>
  <c r="D112" i="29"/>
  <c r="G111" i="29"/>
  <c r="D111" i="29"/>
  <c r="G110" i="29"/>
  <c r="D110" i="29"/>
  <c r="G109" i="29"/>
  <c r="G108" i="29"/>
  <c r="D108" i="29"/>
  <c r="G107" i="29"/>
  <c r="G116" i="29" s="1"/>
  <c r="D107" i="29"/>
  <c r="D116" i="29" s="1"/>
  <c r="D99" i="29"/>
  <c r="G98" i="29"/>
  <c r="D98" i="29"/>
  <c r="E98" i="29" s="1"/>
  <c r="D97" i="29"/>
  <c r="G97" i="29"/>
  <c r="D96" i="29"/>
  <c r="G95" i="29"/>
  <c r="D95" i="29"/>
  <c r="D94" i="29"/>
  <c r="E94" i="29" s="1"/>
  <c r="D93" i="29"/>
  <c r="D92" i="29"/>
  <c r="K93" i="29"/>
  <c r="K96" i="29"/>
  <c r="K97" i="29"/>
  <c r="K98" i="29"/>
  <c r="K99" i="29"/>
  <c r="K100" i="29"/>
  <c r="K101" i="29"/>
  <c r="H93" i="29"/>
  <c r="H94" i="29"/>
  <c r="H95" i="29"/>
  <c r="H96" i="29"/>
  <c r="H97" i="29"/>
  <c r="H98" i="29"/>
  <c r="H99" i="29"/>
  <c r="H100" i="29"/>
  <c r="H101" i="29"/>
  <c r="N92" i="29"/>
  <c r="K92" i="29"/>
  <c r="H92" i="29"/>
  <c r="E101" i="29"/>
  <c r="D100" i="29"/>
  <c r="E100" i="29" s="1"/>
  <c r="E99" i="29"/>
  <c r="E97" i="29"/>
  <c r="E96" i="29"/>
  <c r="E95" i="29"/>
  <c r="E93" i="29"/>
  <c r="E92" i="29"/>
  <c r="B20" i="11"/>
  <c r="H83" i="29"/>
  <c r="F69" i="29"/>
  <c r="F80" i="29" s="1"/>
  <c r="F70" i="29"/>
  <c r="F81" i="29" s="1"/>
  <c r="F71" i="29"/>
  <c r="F72" i="29"/>
  <c r="F83" i="29" s="1"/>
  <c r="F73" i="29"/>
  <c r="F84" i="29" s="1"/>
  <c r="F74" i="29"/>
  <c r="F85" i="29" s="1"/>
  <c r="F75" i="29"/>
  <c r="F86" i="29" s="1"/>
  <c r="F76" i="29"/>
  <c r="F87" i="29" s="1"/>
  <c r="F77" i="29"/>
  <c r="F88" i="29" s="1"/>
  <c r="F68" i="29"/>
  <c r="F79" i="29" s="1"/>
  <c r="D69" i="29"/>
  <c r="D70" i="29"/>
  <c r="D71" i="29"/>
  <c r="D72" i="29"/>
  <c r="D73" i="29"/>
  <c r="D74" i="29"/>
  <c r="D75" i="29"/>
  <c r="D76" i="29"/>
  <c r="D77" i="29"/>
  <c r="D68" i="29"/>
  <c r="D63" i="29"/>
  <c r="K63" i="29" s="1"/>
  <c r="L63" i="29" s="1"/>
  <c r="D62" i="29"/>
  <c r="K62" i="29" s="1"/>
  <c r="L62" i="29" s="1"/>
  <c r="D61" i="29"/>
  <c r="K61" i="29" s="1"/>
  <c r="L61" i="29" s="1"/>
  <c r="D60" i="29"/>
  <c r="D59" i="29"/>
  <c r="K59" i="29" s="1"/>
  <c r="L59" i="29" s="1"/>
  <c r="D58" i="29"/>
  <c r="F57" i="29"/>
  <c r="D57" i="29"/>
  <c r="D56" i="29"/>
  <c r="D55" i="29"/>
  <c r="D54" i="29"/>
  <c r="K54" i="29" s="1"/>
  <c r="K60" i="29"/>
  <c r="L60" i="29" s="1"/>
  <c r="K58" i="29"/>
  <c r="L58" i="29" s="1"/>
  <c r="K56" i="29"/>
  <c r="L56" i="29" s="1"/>
  <c r="K55" i="29"/>
  <c r="L55" i="29" s="1"/>
  <c r="J47" i="29"/>
  <c r="I47" i="29"/>
  <c r="J48" i="29" s="1"/>
  <c r="H47" i="29"/>
  <c r="F47" i="29"/>
  <c r="E47" i="29"/>
  <c r="C47" i="29"/>
  <c r="G46" i="29"/>
  <c r="G45" i="29"/>
  <c r="D45" i="29"/>
  <c r="G44" i="29"/>
  <c r="D44" i="29"/>
  <c r="G43" i="29"/>
  <c r="D43" i="29"/>
  <c r="G42" i="29"/>
  <c r="D42" i="29"/>
  <c r="G41" i="29"/>
  <c r="D41" i="29"/>
  <c r="G40" i="29"/>
  <c r="G39" i="29"/>
  <c r="D39" i="29"/>
  <c r="G38" i="29"/>
  <c r="G47" i="29" s="1"/>
  <c r="D38" i="29"/>
  <c r="D47" i="29" s="1"/>
  <c r="F117" i="25"/>
  <c r="F116" i="25"/>
  <c r="F115" i="25"/>
  <c r="F114" i="25"/>
  <c r="BI108" i="25"/>
  <c r="BH108" i="25"/>
  <c r="BG108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F105" i="25"/>
  <c r="F104" i="25"/>
  <c r="F103" i="25"/>
  <c r="F102" i="25"/>
  <c r="F101" i="25"/>
  <c r="F100" i="25"/>
  <c r="F99" i="25"/>
  <c r="F98" i="25"/>
  <c r="F97" i="25"/>
  <c r="F96" i="25"/>
  <c r="BI94" i="25"/>
  <c r="BH94" i="25"/>
  <c r="BG94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BI88" i="25"/>
  <c r="BH88" i="25"/>
  <c r="BG88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BI82" i="25"/>
  <c r="BH82" i="25"/>
  <c r="BG82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F80" i="25"/>
  <c r="F79" i="25"/>
  <c r="F78" i="25"/>
  <c r="F77" i="25"/>
  <c r="F76" i="25"/>
  <c r="F75" i="25"/>
  <c r="F74" i="25"/>
  <c r="F73" i="25"/>
  <c r="F68" i="25"/>
  <c r="F67" i="25"/>
  <c r="F66" i="25"/>
  <c r="F65" i="25"/>
  <c r="F64" i="25"/>
  <c r="F63" i="25"/>
  <c r="F62" i="25"/>
  <c r="F60" i="25"/>
  <c r="F59" i="25"/>
  <c r="F58" i="25"/>
  <c r="F57" i="25"/>
  <c r="F54" i="25"/>
  <c r="F50" i="25"/>
  <c r="BI48" i="25"/>
  <c r="BH48" i="25"/>
  <c r="BG48" i="25"/>
  <c r="BF48" i="25"/>
  <c r="BE48" i="25"/>
  <c r="BD48" i="25"/>
  <c r="BC48" i="25"/>
  <c r="BB48" i="25"/>
  <c r="BA48" i="25"/>
  <c r="AZ48" i="25"/>
  <c r="AY48" i="25"/>
  <c r="AX48" i="25"/>
  <c r="AW48" i="25"/>
  <c r="AV48" i="25"/>
  <c r="AU48" i="25"/>
  <c r="AT48" i="25"/>
  <c r="AS48" i="25"/>
  <c r="AR48" i="25"/>
  <c r="AQ48" i="25"/>
  <c r="AP48" i="25"/>
  <c r="AO48" i="25"/>
  <c r="AN48" i="25"/>
  <c r="AM48" i="25"/>
  <c r="AL48" i="25"/>
  <c r="AK48" i="25"/>
  <c r="AJ48" i="25"/>
  <c r="AI48" i="25"/>
  <c r="AH48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BI36" i="25"/>
  <c r="BH36" i="25"/>
  <c r="BG36" i="25"/>
  <c r="BF36" i="25"/>
  <c r="BE36" i="25"/>
  <c r="BD36" i="25"/>
  <c r="BC36" i="25"/>
  <c r="BB36" i="25"/>
  <c r="BA36" i="25"/>
  <c r="AZ36" i="25"/>
  <c r="AY36" i="25"/>
  <c r="AX36" i="25"/>
  <c r="AW36" i="25"/>
  <c r="AV36" i="25"/>
  <c r="AU36" i="25"/>
  <c r="AT36" i="25"/>
  <c r="AS36" i="25"/>
  <c r="AR36" i="25"/>
  <c r="AQ36" i="25"/>
  <c r="AP36" i="25"/>
  <c r="AO36" i="25"/>
  <c r="AN36" i="25"/>
  <c r="AM36" i="25"/>
  <c r="AL36" i="25"/>
  <c r="AK36" i="25"/>
  <c r="AJ36" i="25"/>
  <c r="AI36" i="25"/>
  <c r="AH36" i="25"/>
  <c r="AG36" i="25"/>
  <c r="AF36" i="25"/>
  <c r="AE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BI30" i="25"/>
  <c r="BH30" i="25"/>
  <c r="BG30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BI25" i="25"/>
  <c r="BH25" i="25"/>
  <c r="BG25" i="25"/>
  <c r="BF25" i="25"/>
  <c r="BE25" i="25"/>
  <c r="BD25" i="25"/>
  <c r="BC25" i="25"/>
  <c r="BB25" i="25"/>
  <c r="BA25" i="25"/>
  <c r="AZ25" i="25"/>
  <c r="AY25" i="25"/>
  <c r="AX25" i="25"/>
  <c r="AW25" i="25"/>
  <c r="AV25" i="25"/>
  <c r="AU25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BI9" i="25"/>
  <c r="BH9" i="25"/>
  <c r="BG9" i="25"/>
  <c r="BF9" i="25"/>
  <c r="BE9" i="25"/>
  <c r="BD9" i="25"/>
  <c r="BC9" i="25"/>
  <c r="BB9" i="25"/>
  <c r="BA9" i="25"/>
  <c r="AZ9" i="25"/>
  <c r="AY9" i="25"/>
  <c r="AX9" i="25"/>
  <c r="AW9" i="25"/>
  <c r="AV9" i="25"/>
  <c r="AU9" i="25"/>
  <c r="AT9" i="25"/>
  <c r="AS9" i="25"/>
  <c r="AR9" i="25"/>
  <c r="AQ9" i="25"/>
  <c r="AP9" i="25"/>
  <c r="AO9" i="25"/>
  <c r="AN9" i="25"/>
  <c r="AM9" i="25"/>
  <c r="AL9" i="25"/>
  <c r="AK9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K1" i="25"/>
  <c r="B20" i="19"/>
  <c r="K24" i="29"/>
  <c r="K25" i="29"/>
  <c r="K26" i="29"/>
  <c r="K27" i="29"/>
  <c r="K28" i="29"/>
  <c r="K29" i="29"/>
  <c r="K30" i="29"/>
  <c r="K31" i="29"/>
  <c r="K32" i="29"/>
  <c r="K23" i="29"/>
  <c r="O78" i="21"/>
  <c r="E14" i="29"/>
  <c r="F14" i="29"/>
  <c r="H14" i="29"/>
  <c r="I14" i="29"/>
  <c r="J15" i="29" s="1"/>
  <c r="J14" i="29"/>
  <c r="C14" i="29"/>
  <c r="G13" i="29"/>
  <c r="G12" i="29"/>
  <c r="D12" i="29"/>
  <c r="G11" i="29"/>
  <c r="D11" i="29"/>
  <c r="G10" i="29"/>
  <c r="D10" i="29"/>
  <c r="G9" i="29"/>
  <c r="D9" i="29"/>
  <c r="D8" i="29"/>
  <c r="G8" i="29"/>
  <c r="G7" i="29"/>
  <c r="D6" i="29"/>
  <c r="G6" i="29"/>
  <c r="G5" i="29"/>
  <c r="D5" i="29"/>
  <c r="L71" i="21"/>
  <c r="K71" i="21"/>
  <c r="J71" i="21"/>
  <c r="G71" i="21"/>
  <c r="I71" i="21"/>
  <c r="O60" i="21"/>
  <c r="O59" i="21"/>
  <c r="O76" i="21"/>
  <c r="G60" i="21"/>
  <c r="H60" i="21"/>
  <c r="I60" i="21"/>
  <c r="J60" i="21"/>
  <c r="K60" i="21"/>
  <c r="L60" i="21"/>
  <c r="M60" i="21"/>
  <c r="N60" i="21"/>
  <c r="F60" i="21"/>
  <c r="G57" i="21"/>
  <c r="H57" i="21"/>
  <c r="I57" i="21"/>
  <c r="J57" i="21"/>
  <c r="K57" i="21"/>
  <c r="L57" i="21"/>
  <c r="M57" i="21"/>
  <c r="N57" i="21"/>
  <c r="F57" i="21"/>
  <c r="M56" i="21"/>
  <c r="L56" i="21"/>
  <c r="K56" i="21"/>
  <c r="J56" i="21"/>
  <c r="I56" i="21"/>
  <c r="G56" i="21"/>
  <c r="F56" i="21"/>
  <c r="G78" i="21"/>
  <c r="H78" i="21"/>
  <c r="I78" i="21"/>
  <c r="J78" i="21"/>
  <c r="K78" i="21"/>
  <c r="L78" i="21"/>
  <c r="M78" i="21"/>
  <c r="N78" i="21"/>
  <c r="F78" i="21"/>
  <c r="H73" i="21"/>
  <c r="N73" i="21"/>
  <c r="F73" i="21"/>
  <c r="M71" i="21"/>
  <c r="K4" i="17"/>
  <c r="J2" i="17"/>
  <c r="J4" i="17"/>
  <c r="I2" i="17"/>
  <c r="I4" i="17"/>
  <c r="H4" i="17"/>
  <c r="H2" i="17"/>
  <c r="G2" i="17"/>
  <c r="G4" i="17"/>
  <c r="F2" i="17"/>
  <c r="F4" i="17"/>
  <c r="C4" i="17"/>
  <c r="C2" i="17"/>
  <c r="G51" i="21"/>
  <c r="H51" i="21"/>
  <c r="I51" i="21"/>
  <c r="J51" i="21"/>
  <c r="K51" i="21"/>
  <c r="L51" i="21"/>
  <c r="M51" i="21"/>
  <c r="N51" i="21"/>
  <c r="F51" i="21"/>
  <c r="L24" i="21"/>
  <c r="M24" i="21"/>
  <c r="N24" i="21"/>
  <c r="L25" i="21"/>
  <c r="M25" i="21"/>
  <c r="N25" i="21"/>
  <c r="M8" i="21"/>
  <c r="N8" i="21"/>
  <c r="M9" i="21"/>
  <c r="N9" i="21"/>
  <c r="M10" i="21"/>
  <c r="N10" i="21"/>
  <c r="M5" i="21"/>
  <c r="N5" i="21"/>
  <c r="M6" i="21"/>
  <c r="N6" i="21"/>
  <c r="L5" i="21"/>
  <c r="L6" i="21"/>
  <c r="L8" i="21"/>
  <c r="L9" i="21"/>
  <c r="L10" i="21"/>
  <c r="B30" i="2"/>
  <c r="B56" i="24"/>
  <c r="B58" i="24"/>
  <c r="B31" i="24"/>
  <c r="B25" i="24"/>
  <c r="D19" i="11" l="1"/>
  <c r="D19" i="19"/>
  <c r="E19" i="11"/>
  <c r="E19" i="19"/>
  <c r="F19" i="11"/>
  <c r="F19" i="19"/>
  <c r="G19" i="19"/>
  <c r="G19" i="11"/>
  <c r="H19" i="11"/>
  <c r="H19" i="19"/>
  <c r="I19" i="11"/>
  <c r="I19" i="19"/>
  <c r="I19" i="7"/>
  <c r="J19" i="11"/>
  <c r="J19" i="19"/>
  <c r="J19" i="7"/>
  <c r="K19" i="11"/>
  <c r="K19" i="19"/>
  <c r="K19" i="7"/>
  <c r="D20" i="11"/>
  <c r="D20" i="19"/>
  <c r="E20" i="11"/>
  <c r="E20" i="19"/>
  <c r="F20" i="11"/>
  <c r="F20" i="19"/>
  <c r="G20" i="19"/>
  <c r="G20" i="11"/>
  <c r="H20" i="11"/>
  <c r="H20" i="19"/>
  <c r="I20" i="19"/>
  <c r="I20" i="11"/>
  <c r="I20" i="7"/>
  <c r="J20" i="11"/>
  <c r="J20" i="19"/>
  <c r="J20" i="7"/>
  <c r="K20" i="7"/>
  <c r="K20" i="19"/>
  <c r="K20" i="11"/>
  <c r="C19" i="19"/>
  <c r="C19" i="11"/>
  <c r="C20" i="11"/>
  <c r="C20" i="19"/>
  <c r="H117" i="29"/>
  <c r="E117" i="29"/>
  <c r="F82" i="29"/>
  <c r="D80" i="29"/>
  <c r="D82" i="29"/>
  <c r="D84" i="29"/>
  <c r="D86" i="29"/>
  <c r="D88" i="29"/>
  <c r="D81" i="29"/>
  <c r="D83" i="29"/>
  <c r="D85" i="29"/>
  <c r="D87" i="29"/>
  <c r="D79" i="29"/>
  <c r="K57" i="29"/>
  <c r="L54" i="29"/>
  <c r="H48" i="29"/>
  <c r="E48" i="29"/>
  <c r="L1" i="25"/>
  <c r="M1" i="25" s="1"/>
  <c r="N1" i="25" s="1"/>
  <c r="O1" i="25" s="1"/>
  <c r="P1" i="25" s="1"/>
  <c r="Q1" i="25" s="1"/>
  <c r="R1" i="25" s="1"/>
  <c r="S1" i="25" s="1"/>
  <c r="T1" i="25" s="1"/>
  <c r="U1" i="25" s="1"/>
  <c r="V1" i="25" s="1"/>
  <c r="W1" i="25" s="1"/>
  <c r="X1" i="25" s="1"/>
  <c r="Y1" i="25" s="1"/>
  <c r="Z1" i="25" s="1"/>
  <c r="AA1" i="25" s="1"/>
  <c r="AB1" i="25" s="1"/>
  <c r="AC1" i="25" s="1"/>
  <c r="AD1" i="25" s="1"/>
  <c r="AE1" i="25" s="1"/>
  <c r="AF1" i="25" s="1"/>
  <c r="AG1" i="25" s="1"/>
  <c r="AH1" i="25" s="1"/>
  <c r="AI1" i="25" s="1"/>
  <c r="AJ1" i="25" s="1"/>
  <c r="AK1" i="25" s="1"/>
  <c r="AL1" i="25" s="1"/>
  <c r="AM1" i="25" s="1"/>
  <c r="AN1" i="25" s="1"/>
  <c r="AO1" i="25" s="1"/>
  <c r="AP1" i="25" s="1"/>
  <c r="AQ1" i="25" s="1"/>
  <c r="AR1" i="25" s="1"/>
  <c r="AS1" i="25" s="1"/>
  <c r="AT1" i="25" s="1"/>
  <c r="AU1" i="25" s="1"/>
  <c r="AV1" i="25" s="1"/>
  <c r="AW1" i="25" s="1"/>
  <c r="AX1" i="25" s="1"/>
  <c r="AY1" i="25" s="1"/>
  <c r="AZ1" i="25" s="1"/>
  <c r="BA1" i="25" s="1"/>
  <c r="BB1" i="25" s="1"/>
  <c r="BC1" i="25" s="1"/>
  <c r="BD1" i="25" s="1"/>
  <c r="BE1" i="25" s="1"/>
  <c r="BF1" i="25" s="1"/>
  <c r="BG1" i="25" s="1"/>
  <c r="BH1" i="25" s="1"/>
  <c r="BI1" i="25" s="1"/>
  <c r="D14" i="29"/>
  <c r="E15" i="29" s="1"/>
  <c r="G14" i="29"/>
  <c r="H15" i="29" s="1"/>
  <c r="H77" i="21"/>
  <c r="N77" i="21"/>
  <c r="F77" i="21"/>
  <c r="G73" i="21"/>
  <c r="G77" i="21" s="1"/>
  <c r="I73" i="21"/>
  <c r="I77" i="21" s="1"/>
  <c r="J73" i="21"/>
  <c r="J77" i="21" s="1"/>
  <c r="K73" i="21"/>
  <c r="K77" i="21" s="1"/>
  <c r="L73" i="21"/>
  <c r="L77" i="21" s="1"/>
  <c r="M73" i="21"/>
  <c r="M77" i="21" s="1"/>
  <c r="E5" i="17"/>
  <c r="D5" i="17"/>
  <c r="I5" i="17"/>
  <c r="C5" i="17"/>
  <c r="F5" i="17"/>
  <c r="H5" i="17"/>
  <c r="G5" i="17"/>
  <c r="J5" i="17"/>
  <c r="K5" i="17"/>
  <c r="G24" i="21"/>
  <c r="H24" i="21"/>
  <c r="I24" i="21"/>
  <c r="J24" i="21"/>
  <c r="K24" i="21"/>
  <c r="G25" i="21"/>
  <c r="H25" i="21"/>
  <c r="I25" i="21"/>
  <c r="J25" i="21"/>
  <c r="K25" i="21"/>
  <c r="F25" i="21"/>
  <c r="F24" i="21"/>
  <c r="G9" i="21"/>
  <c r="H10" i="21"/>
  <c r="E9" i="21"/>
  <c r="F9" i="21"/>
  <c r="H9" i="21"/>
  <c r="I9" i="21"/>
  <c r="J9" i="21"/>
  <c r="K9" i="21"/>
  <c r="E10" i="21"/>
  <c r="F10" i="21"/>
  <c r="G10" i="21"/>
  <c r="I10" i="21"/>
  <c r="J10" i="21"/>
  <c r="K10" i="21"/>
  <c r="F8" i="21"/>
  <c r="G8" i="21"/>
  <c r="H8" i="21"/>
  <c r="I8" i="21"/>
  <c r="J8" i="21"/>
  <c r="K8" i="21"/>
  <c r="E8" i="21"/>
  <c r="F6" i="21"/>
  <c r="G6" i="21"/>
  <c r="H6" i="21"/>
  <c r="I6" i="21"/>
  <c r="J6" i="21"/>
  <c r="K6" i="21"/>
  <c r="E6" i="21"/>
  <c r="F5" i="21"/>
  <c r="G5" i="21"/>
  <c r="H5" i="21"/>
  <c r="I5" i="21"/>
  <c r="J5" i="21"/>
  <c r="K5" i="21"/>
  <c r="E5" i="21"/>
  <c r="L57" i="29" l="1"/>
  <c r="K64" i="29"/>
  <c r="O77" i="21"/>
  <c r="D19" i="7"/>
  <c r="E19" i="7"/>
  <c r="F19" i="7"/>
  <c r="G19" i="7"/>
  <c r="H19" i="7"/>
  <c r="C19" i="7"/>
  <c r="D20" i="7"/>
  <c r="E20" i="7"/>
  <c r="F20" i="7"/>
  <c r="G20" i="7"/>
  <c r="H20" i="7"/>
  <c r="C20" i="7"/>
  <c r="D4" i="17"/>
  <c r="B14" i="5" l="1" a="1"/>
  <c r="C52" i="24" a="1"/>
  <c r="C69" i="24" l="1" a="1"/>
  <c r="C22" i="24" a="1"/>
  <c r="B3" i="15" a="1"/>
  <c r="B21" i="4" l="1" a="1"/>
  <c r="B19" i="5" a="1"/>
  <c r="G30" i="12" a="1"/>
  <c r="G31" i="12" s="1" a="1"/>
  <c r="C81" i="24" a="1"/>
  <c r="C82" i="24" a="1"/>
  <c r="C77" i="24" a="1"/>
  <c r="C76" i="24" a="1"/>
  <c r="C36" i="24" a="1"/>
  <c r="C44" i="24" a="1"/>
  <c r="C50" i="24" a="1"/>
  <c r="C67" i="24" a="1"/>
  <c r="C51" i="24" a="1"/>
  <c r="C43" i="24" a="1"/>
  <c r="C70" i="24" a="1"/>
  <c r="C42" i="24" a="1"/>
  <c r="C64" i="24" a="1"/>
  <c r="C46" i="24" a="1"/>
  <c r="C53" i="24" a="1"/>
  <c r="C65" i="24" a="1"/>
  <c r="C21" i="24" a="1"/>
  <c r="C12" i="24" a="1"/>
  <c r="B2" i="15" a="1"/>
  <c r="C16" i="24" a="1"/>
  <c r="C11" i="24" a="1"/>
  <c r="C28" i="24" s="1"/>
  <c r="C32" i="24" s="1"/>
  <c r="B3" i="28" s="1"/>
  <c r="C9" i="24" a="1"/>
  <c r="C20" i="24" a="1"/>
  <c r="C17" i="24" a="1"/>
  <c r="C15" i="24" a="1"/>
  <c r="C14" i="24" a="1"/>
  <c r="C19" i="24" a="1"/>
  <c r="C10" i="24" a="1"/>
  <c r="C84" i="24" l="1"/>
  <c r="B10" i="10" s="1"/>
  <c r="C79" i="24"/>
  <c r="B13" i="10" s="1"/>
  <c r="C57" i="24" l="1" a="1"/>
  <c r="C45" i="24" a="1"/>
  <c r="C37" i="24" a="1"/>
  <c r="C56" i="24" s="1"/>
  <c r="C47" i="24" a="1"/>
  <c r="C66" i="24" a="1"/>
  <c r="C49" i="24" a="1"/>
  <c r="C68" i="24" a="1"/>
  <c r="C41" i="24" a="1"/>
  <c r="C55" i="24" l="1"/>
  <c r="B4" i="28" s="1"/>
  <c r="C72" i="24"/>
  <c r="B6" i="28" s="1"/>
  <c r="C58" i="24"/>
  <c r="B5" i="28" s="1"/>
  <c r="C18" i="24" a="1"/>
  <c r="C24" i="24" s="1"/>
  <c r="B1" i="28" s="1"/>
  <c r="C25" i="24" l="1"/>
  <c r="C31" i="24" s="1"/>
  <c r="B2" i="2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<sst xmlns="http://schemas.openxmlformats.org/spreadsheetml/2006/main" count="2021" uniqueCount="640">
  <si>
    <t>tech</t>
  </si>
  <si>
    <t>offshore_float</t>
  </si>
  <si>
    <t>offshore_ground</t>
  </si>
  <si>
    <t>onshore</t>
  </si>
  <si>
    <t>river</t>
  </si>
  <si>
    <t>lake</t>
  </si>
  <si>
    <t>nuclear</t>
  </si>
  <si>
    <t>ch4_ocgt</t>
  </si>
  <si>
    <t>ch4_ccgt</t>
  </si>
  <si>
    <t>phs</t>
  </si>
  <si>
    <t>electrolysis</t>
  </si>
  <si>
    <t>h2_saltcavern</t>
  </si>
  <si>
    <t>h2_ccgt</t>
  </si>
  <si>
    <t>methanization</t>
  </si>
  <si>
    <t>battery_1h</t>
  </si>
  <si>
    <t>battery_4h</t>
  </si>
  <si>
    <t>ch4_reservoir</t>
  </si>
  <si>
    <t>methanation</t>
  </si>
  <si>
    <t>pyrogazification</t>
  </si>
  <si>
    <t>natural_gas</t>
  </si>
  <si>
    <t>coal</t>
  </si>
  <si>
    <t>marine</t>
  </si>
  <si>
    <t>waste</t>
  </si>
  <si>
    <t>biomass_coge</t>
  </si>
  <si>
    <t>geothermal_coge</t>
  </si>
  <si>
    <t>ocgt_coge</t>
  </si>
  <si>
    <t>str_dummy</t>
  </si>
  <si>
    <t>rsv_dummy</t>
  </si>
  <si>
    <t>battery_2h</t>
  </si>
  <si>
    <t>battery_8h</t>
  </si>
  <si>
    <t>Costs</t>
  </si>
  <si>
    <t>fOM</t>
  </si>
  <si>
    <t>storage_capex</t>
  </si>
  <si>
    <t>capex</t>
  </si>
  <si>
    <t>construction_time</t>
  </si>
  <si>
    <t>discount_rate</t>
  </si>
  <si>
    <t>lifetime</t>
  </si>
  <si>
    <t>vOM</t>
  </si>
  <si>
    <t>Parameter</t>
  </si>
  <si>
    <t>value</t>
  </si>
  <si>
    <t>capacity_factor_nuclear_yearly</t>
  </si>
  <si>
    <t>social_cost_of_carbon</t>
  </si>
  <si>
    <t>carbon_budget</t>
  </si>
  <si>
    <t>CO2_industry_demand</t>
  </si>
  <si>
    <t>CO2_industry_prod</t>
  </si>
  <si>
    <t>unit</t>
  </si>
  <si>
    <t>€/tCO2</t>
  </si>
  <si>
    <t>GWh of CH4</t>
  </si>
  <si>
    <t>MtCO2/y</t>
  </si>
  <si>
    <t>fcr_requirement</t>
  </si>
  <si>
    <t>GW</t>
  </si>
  <si>
    <t>h2_saltcavern_charge_to_storage_ratio</t>
  </si>
  <si>
    <t>h2_saltcavern_discharge_to_storage_ratio</t>
  </si>
  <si>
    <t>load_shift_maximum_power</t>
  </si>
  <si>
    <t>/hour</t>
  </si>
  <si>
    <t>load_shift_period</t>
  </si>
  <si>
    <t>hour</t>
  </si>
  <si>
    <t>load_uncertainty</t>
  </si>
  <si>
    <t>load_variation</t>
  </si>
  <si>
    <t>ch4_reservoir_charge_to_discharge_ratio</t>
  </si>
  <si>
    <t>phs_charge_to_discharge_ratio</t>
  </si>
  <si>
    <t>pv_ground</t>
  </si>
  <si>
    <t>pv_roof_com</t>
  </si>
  <si>
    <t>pv_roof_indiv</t>
  </si>
  <si>
    <t>FR</t>
  </si>
  <si>
    <t>DE</t>
  </si>
  <si>
    <t>ES</t>
  </si>
  <si>
    <t>IT</t>
  </si>
  <si>
    <t>CH</t>
  </si>
  <si>
    <t>BE</t>
  </si>
  <si>
    <t>UK</t>
  </si>
  <si>
    <t>reserve</t>
  </si>
  <si>
    <t>fcr</t>
  </si>
  <si>
    <t>frr</t>
  </si>
  <si>
    <t>reserve_activation_rate</t>
  </si>
  <si>
    <t>reserve_activation_time</t>
  </si>
  <si>
    <t>frr_requirements</t>
  </si>
  <si>
    <t>carbon_content</t>
  </si>
  <si>
    <t>carbon_footprint</t>
  </si>
  <si>
    <t>co2_fraction</t>
  </si>
  <si>
    <t>co2_usable</t>
  </si>
  <si>
    <t>CO2_usable_industry</t>
  </si>
  <si>
    <t>conversion_efficiency</t>
  </si>
  <si>
    <t>efficiency_storage_in</t>
  </si>
  <si>
    <t>efficiency_storage_out</t>
  </si>
  <si>
    <t>ramp_rate</t>
  </si>
  <si>
    <t>exporter</t>
  </si>
  <si>
    <t>fuel</t>
  </si>
  <si>
    <t>fuel_prices_2020</t>
  </si>
  <si>
    <t>fuel_prices_rate</t>
  </si>
  <si>
    <t>year_simulated</t>
  </si>
  <si>
    <t>tr_loss</t>
  </si>
  <si>
    <t>demande</t>
  </si>
  <si>
    <t>CH4</t>
  </si>
  <si>
    <t>H2</t>
  </si>
  <si>
    <t>elec</t>
  </si>
  <si>
    <t>biomethane_import</t>
  </si>
  <si>
    <t>€/MWh</t>
  </si>
  <si>
    <t>biogas_import</t>
  </si>
  <si>
    <t>TWh/an</t>
  </si>
  <si>
    <t>capacity_factor</t>
  </si>
  <si>
    <t>annual_production_nuclear</t>
  </si>
  <si>
    <t>TWh</t>
  </si>
  <si>
    <t>Descriptif des pages</t>
  </si>
  <si>
    <t>Constants</t>
  </si>
  <si>
    <t>fuel_prices</t>
  </si>
  <si>
    <t>tech_parameters</t>
  </si>
  <si>
    <t>exist_cap</t>
  </si>
  <si>
    <t>exist_en_cap</t>
  </si>
  <si>
    <t>min_cap</t>
  </si>
  <si>
    <t>min_en_cap</t>
  </si>
  <si>
    <t>max_cap</t>
  </si>
  <si>
    <t>max_en_cap</t>
  </si>
  <si>
    <t>links</t>
  </si>
  <si>
    <t>biomass_potential</t>
  </si>
  <si>
    <t>demand_EU</t>
  </si>
  <si>
    <t>coût des ressources fossiles (natural_gas et coal)</t>
  </si>
  <si>
    <t>constantes du problème non repertoriées ailleurs</t>
  </si>
  <si>
    <t>coûts des différentes technologies</t>
  </si>
  <si>
    <t>paramètres techniques des différentes technologies</t>
  </si>
  <si>
    <t>Nom</t>
  </si>
  <si>
    <t>Indexation</t>
  </si>
  <si>
    <t>n</t>
  </si>
  <si>
    <t>paramètres techniques des marchés de réserve</t>
  </si>
  <si>
    <t>capacités de production existantes (en puissance)</t>
  </si>
  <si>
    <t>capacités de production existantes (en énergie)</t>
  </si>
  <si>
    <t>capacités d'interconnexions entre les pays</t>
  </si>
  <si>
    <t>potentiel de production de biomasse (méthanisation/pyrogazéification)</t>
  </si>
  <si>
    <t>demandes globales par pays pour chaque vecteur (élec et gaz)</t>
  </si>
  <si>
    <t>areas, vectors</t>
  </si>
  <si>
    <t>areas, tech</t>
  </si>
  <si>
    <t>areas, areas</t>
  </si>
  <si>
    <t>Descriptif</t>
  </si>
  <si>
    <t xml:space="preserve">répartition entre technologies </t>
  </si>
  <si>
    <t>solaire</t>
  </si>
  <si>
    <t>ground</t>
  </si>
  <si>
    <t>roof_com</t>
  </si>
  <si>
    <t>roof_indiv</t>
  </si>
  <si>
    <t>part des installations</t>
  </si>
  <si>
    <t>éolien</t>
  </si>
  <si>
    <t>float</t>
  </si>
  <si>
    <t>offshore</t>
  </si>
  <si>
    <t xml:space="preserve">solar </t>
  </si>
  <si>
    <t xml:space="preserve">offshore_float </t>
  </si>
  <si>
    <t>solar_ground</t>
  </si>
  <si>
    <t>solar_roof_com</t>
  </si>
  <si>
    <t>solar_roof_indiv</t>
  </si>
  <si>
    <t>CF PECD</t>
  </si>
  <si>
    <t>CF CLEVER</t>
  </si>
  <si>
    <t>solar</t>
  </si>
  <si>
    <t>ratio CF</t>
  </si>
  <si>
    <t>on change si au-delà de 0,9-1,1</t>
  </si>
  <si>
    <t>prodombgr</t>
  </si>
  <si>
    <t>TWh PCI/an</t>
  </si>
  <si>
    <t>Production de méthane par méthanisation</t>
  </si>
  <si>
    <t>Méthanisation</t>
  </si>
  <si>
    <t>biomass_potential_methanization</t>
  </si>
  <si>
    <t>promet</t>
  </si>
  <si>
    <t>Production de méthane à partir de biomasse solide</t>
  </si>
  <si>
    <t>Pyrogazéification</t>
  </si>
  <si>
    <t>biomass_potential_pyrogazification</t>
  </si>
  <si>
    <t>fchnuc</t>
  </si>
  <si>
    <t>ratio (0-1)</t>
  </si>
  <si>
    <t>Nucléaire</t>
  </si>
  <si>
    <t>capacity_factor_nuclear</t>
  </si>
  <si>
    <t>fchenm</t>
  </si>
  <si>
    <t>Energies marines</t>
  </si>
  <si>
    <t>capacity_factor_marine</t>
  </si>
  <si>
    <t>fchhdr</t>
  </si>
  <si>
    <t>Hydro</t>
  </si>
  <si>
    <t>capacity_factor_river</t>
  </si>
  <si>
    <t>fcheon</t>
  </si>
  <si>
    <t>Eolien onshore</t>
  </si>
  <si>
    <t>capacity_factor_onshore</t>
  </si>
  <si>
    <t>rdmmet</t>
  </si>
  <si>
    <t>Rendement hydrogène =&gt; méthane</t>
  </si>
  <si>
    <t>Méthanation</t>
  </si>
  <si>
    <t>conversion_efficiency_methanation</t>
  </si>
  <si>
    <t>rdmels</t>
  </si>
  <si>
    <t>Rendement électricité =&gt; hydrogène</t>
  </si>
  <si>
    <t>Electrolyse</t>
  </si>
  <si>
    <t>conversion_efficiency_electrolysis</t>
  </si>
  <si>
    <t>Production nette d'électricité nucléaire</t>
  </si>
  <si>
    <t>ghg_source.wst_fos_pe</t>
  </si>
  <si>
    <t>MtCO2eq/an</t>
  </si>
  <si>
    <t>Déchets</t>
  </si>
  <si>
    <t>Contrainte carbone</t>
  </si>
  <si>
    <t>ghg_source.gaz_pe</t>
  </si>
  <si>
    <t>Gaz</t>
  </si>
  <si>
    <t>ghg_source.pet_pe</t>
  </si>
  <si>
    <t>Pétrole</t>
  </si>
  <si>
    <t>ghg_source.cms_pe</t>
  </si>
  <si>
    <t>Charbon</t>
  </si>
  <si>
    <t>ghg_sector.elc_vap_ghg</t>
  </si>
  <si>
    <t>Emissions tous GES uniquement prod élec &amp; chaleur</t>
  </si>
  <si>
    <t>Prod élec &amp; chaleur</t>
  </si>
  <si>
    <t>Potentiel biomasse</t>
  </si>
  <si>
    <t>DELTA TOTAL vs. somme</t>
  </si>
  <si>
    <t>demand_CH4</t>
  </si>
  <si>
    <t>Demande CH4</t>
  </si>
  <si>
    <t>sec_uses.gaz_se.total</t>
  </si>
  <si>
    <t>TOTAL</t>
  </si>
  <si>
    <t>Pertes réseau (transport &amp; distribution)</t>
  </si>
  <si>
    <t>Pertes</t>
  </si>
  <si>
    <t>sec_uses.gaz_se.exp</t>
  </si>
  <si>
    <t>Excédent</t>
  </si>
  <si>
    <t>sec_uses.gaz_se.vap_se</t>
  </si>
  <si>
    <t>Prod chaleur</t>
  </si>
  <si>
    <t>sec_uses.gaz_se.elc_se</t>
  </si>
  <si>
    <t>Prod élec</t>
  </si>
  <si>
    <t>sec_uses.gaz_se.ens</t>
  </si>
  <si>
    <t>Raffineries</t>
  </si>
  <si>
    <t>gazcfneind</t>
  </si>
  <si>
    <t>Non-énergétique</t>
  </si>
  <si>
    <t>gazcfagr</t>
  </si>
  <si>
    <t>Agriculture</t>
  </si>
  <si>
    <t>gazcfind</t>
  </si>
  <si>
    <t>Industrie</t>
  </si>
  <si>
    <t>ngvcffrewati</t>
  </si>
  <si>
    <t>Maritime international</t>
  </si>
  <si>
    <t>gazcffre</t>
  </si>
  <si>
    <t>Fret domestique</t>
  </si>
  <si>
    <t>gazcfmob</t>
  </si>
  <si>
    <t>Mobilité domestique</t>
  </si>
  <si>
    <t>Tertiaire</t>
  </si>
  <si>
    <t>gazcfter</t>
  </si>
  <si>
    <t>gazcftercui</t>
  </si>
  <si>
    <t>Cuisson tertiaire</t>
  </si>
  <si>
    <t>gazcfterecs</t>
  </si>
  <si>
    <t>Eau chaude sanitaire tertiaire</t>
  </si>
  <si>
    <t>gazcfterchf</t>
  </si>
  <si>
    <t>Conso d'élec pour chauffage tertiaire (effet joule + électricité des PAC)</t>
  </si>
  <si>
    <t>Thermosensible chaud</t>
  </si>
  <si>
    <t>Résidentiel</t>
  </si>
  <si>
    <t>gazcfres</t>
  </si>
  <si>
    <t>gazcfrescui</t>
  </si>
  <si>
    <t>Cuisson résidentiel</t>
  </si>
  <si>
    <t>gazcfresecs</t>
  </si>
  <si>
    <t>Eau chaude sanitaire résidentiel</t>
  </si>
  <si>
    <t>gazcfreschf</t>
  </si>
  <si>
    <t>Conso d'élec pour chauffage résidentiel (effet joule + électricité des PAC)</t>
  </si>
  <si>
    <t>demand_H2</t>
  </si>
  <si>
    <t>Demande H2</t>
  </si>
  <si>
    <t>sec_uses.hyd_se.total</t>
  </si>
  <si>
    <t>sec_uses.hyd_se.exp</t>
  </si>
  <si>
    <t>sec_uses.hyd_se.lqf_se</t>
  </si>
  <si>
    <t>E-fuel</t>
  </si>
  <si>
    <t>sec_uses.hyd_se.gaz_se</t>
  </si>
  <si>
    <t>Méthanation (P2G)</t>
  </si>
  <si>
    <t>sec_uses.hyd_se.neind</t>
  </si>
  <si>
    <t>sec_uses.hyd_se.fre</t>
  </si>
  <si>
    <t>Fret</t>
  </si>
  <si>
    <t>sec_uses.hyd_se.mob</t>
  </si>
  <si>
    <t>Mobilité</t>
  </si>
  <si>
    <t>sec_uses.hyd_se.ind</t>
  </si>
  <si>
    <t>Caracteristiques techno</t>
  </si>
  <si>
    <t>fchght</t>
  </si>
  <si>
    <t>Géothermie haute température</t>
  </si>
  <si>
    <t>Facteurs de charge</t>
  </si>
  <si>
    <t>fcheof</t>
  </si>
  <si>
    <t>Eolien offshore</t>
  </si>
  <si>
    <t>fchspv</t>
  </si>
  <si>
    <t>PV</t>
  </si>
  <si>
    <t>caight</t>
  </si>
  <si>
    <t>Capacites</t>
  </si>
  <si>
    <t>caienm</t>
  </si>
  <si>
    <t>Energies marines (marémoteur, vagues, houle...)</t>
  </si>
  <si>
    <t>caieon</t>
  </si>
  <si>
    <t>cainuc</t>
  </si>
  <si>
    <t>demand_elec</t>
  </si>
  <si>
    <t>Courbe de charge elec</t>
  </si>
  <si>
    <t>sec_uses.elc_se.total</t>
  </si>
  <si>
    <t>sec_uses.elc_se.exp</t>
  </si>
  <si>
    <t>Excédents</t>
  </si>
  <si>
    <t>sec_uses.elc_se.sto_se</t>
  </si>
  <si>
    <t>Pertes liées au stockage (batteries, STEP)</t>
  </si>
  <si>
    <t>sec_uses.elc_se.ens</t>
  </si>
  <si>
    <t>Autre conso d'élec de la branche énergie (raffineries…)</t>
  </si>
  <si>
    <t>Branche énergie de l'industrie</t>
  </si>
  <si>
    <t>sec_uses.elc_se.vap_se</t>
  </si>
  <si>
    <t>Conso d'élec pour réseaux de chaleur (PAC, P2H...)</t>
  </si>
  <si>
    <t>sec_uses.elc_se.hyd_se</t>
  </si>
  <si>
    <t>Conso d'élec pour production H2</t>
  </si>
  <si>
    <t>elccfind</t>
  </si>
  <si>
    <t>Conso d'élec de l'industrie</t>
  </si>
  <si>
    <t>Pro</t>
  </si>
  <si>
    <t>Industrie manufacturière</t>
  </si>
  <si>
    <t>elccfagr</t>
  </si>
  <si>
    <t>Conso d'élec de l'agriculture</t>
  </si>
  <si>
    <t>elccffre</t>
  </si>
  <si>
    <t>elccffrefer</t>
  </si>
  <si>
    <t>Fret - ferroviaire</t>
  </si>
  <si>
    <t>elccffrepl</t>
  </si>
  <si>
    <t>Fret - PL (FR et étrangers)</t>
  </si>
  <si>
    <t>elccffrevul</t>
  </si>
  <si>
    <t>Fret - VUL</t>
  </si>
  <si>
    <t>elccfmob</t>
  </si>
  <si>
    <t>elccfmobautre</t>
  </si>
  <si>
    <t>Mobilité - autres (bus, 2RM, vélos, train/metro/tram)</t>
  </si>
  <si>
    <t>elccfmobvp</t>
  </si>
  <si>
    <t>Mobilité - VP</t>
  </si>
  <si>
    <t>elccfter</t>
  </si>
  <si>
    <t>elccfterbmg</t>
  </si>
  <si>
    <t>Autre élec spécifique tertiaire (ventilation, portes auto, ascenseurs etc.)</t>
  </si>
  <si>
    <t>Base</t>
  </si>
  <si>
    <t>elccfteroth</t>
  </si>
  <si>
    <t>Final electricity consumption for other activities in the tertiary sector</t>
  </si>
  <si>
    <t>elccftercol</t>
  </si>
  <si>
    <t>Final electricity consumption for cold production in the tertiary sector</t>
  </si>
  <si>
    <t>elccftertni</t>
  </si>
  <si>
    <t>Final electricity consumption of the telecom network infrastructure (excl. server equipment)</t>
  </si>
  <si>
    <t>elccftersve</t>
  </si>
  <si>
    <t>elccfterplg</t>
  </si>
  <si>
    <t>Final electricity consumption for public lighting</t>
  </si>
  <si>
    <t>?</t>
  </si>
  <si>
    <t>elccfterooe</t>
  </si>
  <si>
    <t>Final electricity consumption for other office equipment (refrigeration, washing, excl. servers)</t>
  </si>
  <si>
    <t>elccfterite</t>
  </si>
  <si>
    <t>Final electricity consumption for IT equipment (desktop, laptop, screen) in the tertiary sector</t>
  </si>
  <si>
    <t>elccfterlgt</t>
  </si>
  <si>
    <t>Final electricity consumption for lighting in the tertiary sector</t>
  </si>
  <si>
    <t>elccftercui</t>
  </si>
  <si>
    <t>elccfterecs</t>
  </si>
  <si>
    <t>Flexible</t>
  </si>
  <si>
    <t>elccftercli</t>
  </si>
  <si>
    <t>Conso d'élec pour clim tertiaire</t>
  </si>
  <si>
    <t>Thermosensible froid</t>
  </si>
  <si>
    <t>elccfterchf</t>
  </si>
  <si>
    <t>elccfres</t>
  </si>
  <si>
    <t>elccfresbmg</t>
  </si>
  <si>
    <t>Autre élec spécifique résidentiel (ventilation, portes auto, ascenseurs etc.)</t>
  </si>
  <si>
    <t>elecfresels</t>
  </si>
  <si>
    <t>Eclairage et équipements domestiques résidentiel</t>
  </si>
  <si>
    <t>elccfrescui</t>
  </si>
  <si>
    <t>elccfresecs</t>
  </si>
  <si>
    <t>elccfrescli</t>
  </si>
  <si>
    <t>Conso d'élec pour clim résidentiel</t>
  </si>
  <si>
    <t>elccfreschf</t>
  </si>
  <si>
    <t>Pour somme demande élec</t>
  </si>
  <si>
    <t>Libellé dans BDD indicateurs</t>
  </si>
  <si>
    <t>Module SnW27</t>
  </si>
  <si>
    <t>Code SnW27</t>
  </si>
  <si>
    <t>Unité</t>
  </si>
  <si>
    <t>Libellé</t>
  </si>
  <si>
    <t>Profil</t>
  </si>
  <si>
    <t>Secteur</t>
  </si>
  <si>
    <t>Catégorie EOLES</t>
  </si>
  <si>
    <t>Demande élec</t>
  </si>
  <si>
    <t>Chauffage résidentiel</t>
  </si>
  <si>
    <t>Chauffage tertiaire</t>
  </si>
  <si>
    <t>Clim résidentiel</t>
  </si>
  <si>
    <t>Clim tertiaire</t>
  </si>
  <si>
    <t>Total résidentiel</t>
  </si>
  <si>
    <t>Total tertaire</t>
  </si>
  <si>
    <t>Total mobilité</t>
  </si>
  <si>
    <t>Total frêt</t>
  </si>
  <si>
    <t>Total industrie</t>
  </si>
  <si>
    <t>Total agriculture</t>
  </si>
  <si>
    <t>Total autre énergie</t>
  </si>
  <si>
    <t>Total chaleur</t>
  </si>
  <si>
    <t>Total elec</t>
  </si>
  <si>
    <t>Total non-énergétique</t>
  </si>
  <si>
    <t>Frêt</t>
  </si>
  <si>
    <t>e-fuel</t>
  </si>
  <si>
    <t>Total H2</t>
  </si>
  <si>
    <t>max_cap_nuclear</t>
  </si>
  <si>
    <t>max_cap_onshore</t>
  </si>
  <si>
    <t>max_cap_marine</t>
  </si>
  <si>
    <t>max_cap_geothermal_coge</t>
  </si>
  <si>
    <t>capacity_factor_pv</t>
  </si>
  <si>
    <t>capacity_factor_offshore</t>
  </si>
  <si>
    <t>capacity_factor_geothermal_coge</t>
  </si>
  <si>
    <t>Total chauffage elec 2019</t>
  </si>
  <si>
    <t>demand_elec_tot</t>
  </si>
  <si>
    <t>coef_CH4</t>
  </si>
  <si>
    <t>demand_CH4_tot</t>
  </si>
  <si>
    <t>coef_elec</t>
  </si>
  <si>
    <t>Production thermique</t>
  </si>
  <si>
    <t>max_cap_offshore_float</t>
  </si>
  <si>
    <t>max_cap_offshore_ground</t>
  </si>
  <si>
    <t>max_cap_pv_ground</t>
  </si>
  <si>
    <t>max_cap_pv_roof_com</t>
  </si>
  <si>
    <t>max_cap_pv_roof_indiv</t>
  </si>
  <si>
    <t>Solaire</t>
  </si>
  <si>
    <t>Capacité installée éolien flottant</t>
  </si>
  <si>
    <t>Capacité installée éolien posé</t>
  </si>
  <si>
    <t>Capacité installée solaire utility-scale</t>
  </si>
  <si>
    <t>Capacité installée solaire grandes toitures</t>
  </si>
  <si>
    <t>Capacité installée solaire petites toitures</t>
  </si>
  <si>
    <t>annual_production_ocgt_coge</t>
  </si>
  <si>
    <t>annual_production_waste</t>
  </si>
  <si>
    <t>annual_production_biomass_coge</t>
  </si>
  <si>
    <t>demand_elec_res</t>
  </si>
  <si>
    <t>demand_elec_res_heat</t>
  </si>
  <si>
    <t>demand_elec_res_cool</t>
  </si>
  <si>
    <t>demand_elec_ter_heat</t>
  </si>
  <si>
    <t>demand_elec_ter_cool</t>
  </si>
  <si>
    <t>demand_elec_ter</t>
  </si>
  <si>
    <t>demand_elec_mob</t>
  </si>
  <si>
    <t>demand_elec_fret</t>
  </si>
  <si>
    <t>demand_elec_agr</t>
  </si>
  <si>
    <t>demand_elec_ind</t>
  </si>
  <si>
    <t>demand_elec_neth</t>
  </si>
  <si>
    <t>demand_elec_other</t>
  </si>
  <si>
    <t>demand_elec_losses</t>
  </si>
  <si>
    <t>demand_H2_ind</t>
  </si>
  <si>
    <t>demand_H2_mob</t>
  </si>
  <si>
    <t>demand_H2_fret</t>
  </si>
  <si>
    <t>demand_H2_other</t>
  </si>
  <si>
    <t>demand_H2_efuel</t>
  </si>
  <si>
    <t>demand_CH4_res_heat</t>
  </si>
  <si>
    <t>demand_CH4_res</t>
  </si>
  <si>
    <t>demand_CH4_ter_heat</t>
  </si>
  <si>
    <t>demand_CH4_ter</t>
  </si>
  <si>
    <t>demand_CH4_mob</t>
  </si>
  <si>
    <t>demand_CH4_fret</t>
  </si>
  <si>
    <t>demand_CH4_mar</t>
  </si>
  <si>
    <t>demand_CH4_ind</t>
  </si>
  <si>
    <t>demand_CH4_agr</t>
  </si>
  <si>
    <t>demand_CH4_other</t>
  </si>
  <si>
    <t>demand_CH4_raf</t>
  </si>
  <si>
    <t>demand_CH4_neth</t>
  </si>
  <si>
    <t>demand_CH4_losses</t>
  </si>
  <si>
    <t>create_demand_param</t>
  </si>
  <si>
    <t>Constantes du problème pour la pipeline de construction de la demande horaire</t>
  </si>
  <si>
    <t>Data_EOLES</t>
  </si>
  <si>
    <t>traitement_nW_EOLES</t>
  </si>
  <si>
    <t>feuille avec toutes les données de nW utiles à EOLES</t>
  </si>
  <si>
    <t>Calculs intermédiaires pour données exploitables avec EOLES</t>
  </si>
  <si>
    <t>donnée nécessitant un traitement dans traitement_nW_EOLES</t>
  </si>
  <si>
    <t>donnée utilisée directement dans les feuilles suivantes</t>
  </si>
  <si>
    <t>annual_production_natural_gas</t>
  </si>
  <si>
    <t>sec_uses.elc_se.per_ntw</t>
  </si>
  <si>
    <t>sec_uses.gaz_se.per_ntw</t>
  </si>
  <si>
    <t>Branche énergie</t>
  </si>
  <si>
    <t>sec_uses.hyd_se.ens</t>
  </si>
  <si>
    <t>donnée non utilisée</t>
  </si>
  <si>
    <t>code EOLES</t>
  </si>
  <si>
    <t>Usage EOLES</t>
  </si>
  <si>
    <t>Valeur</t>
  </si>
  <si>
    <t>Demande H2 (TWh PCI)</t>
  </si>
  <si>
    <t>Demande gaz (TWh PCI)</t>
  </si>
  <si>
    <t>Pas utilisé ?</t>
  </si>
  <si>
    <t>Code EOLES</t>
  </si>
  <si>
    <t>demand_H2_en</t>
  </si>
  <si>
    <t>Total gaz</t>
  </si>
  <si>
    <t>Total chauffage gaz 2019</t>
  </si>
  <si>
    <t>Total transport maritime international</t>
  </si>
  <si>
    <t>Pertes réseaux</t>
  </si>
  <si>
    <t>proelcnuc</t>
  </si>
  <si>
    <t>Hydro (lac)</t>
  </si>
  <si>
    <t>Hydro (fil de l'eau)</t>
  </si>
  <si>
    <t>max_cap_lake</t>
  </si>
  <si>
    <t>max_cap_river</t>
  </si>
  <si>
    <t>Usage</t>
  </si>
  <si>
    <t>dans cette feuille</t>
  </si>
  <si>
    <t>donnée non utilisée mais vérif de cohérence sur cet onglet</t>
  </si>
  <si>
    <t>proelcgaz</t>
  </si>
  <si>
    <t>prbelcchpgaz</t>
  </si>
  <si>
    <t>prbelcchpbgl</t>
  </si>
  <si>
    <t>proelcwst</t>
  </si>
  <si>
    <t>prbelcchpwst</t>
  </si>
  <si>
    <t>Production nette d'électricité issue d'incinération des déchets avec cogé</t>
  </si>
  <si>
    <t>Biomasse solide</t>
  </si>
  <si>
    <t>proelcboi</t>
  </si>
  <si>
    <t>Production nette d'électricité issue de centrale biomasse</t>
  </si>
  <si>
    <t>prbelcchpboi</t>
  </si>
  <si>
    <t>Production d'élec thermique cogé &amp; non cogé (TWh)</t>
  </si>
  <si>
    <t>annual_production_waste_noncoge</t>
  </si>
  <si>
    <t>annual_production_waste_coge</t>
  </si>
  <si>
    <t>Incinération déchets sans cogé</t>
  </si>
  <si>
    <t>Incinération déchets avec cogé</t>
  </si>
  <si>
    <t>sec_mix.elc_se.enc_pe</t>
  </si>
  <si>
    <t>Production nette d'électricité issue de centrale biomasse sans cogé</t>
  </si>
  <si>
    <t>Production nette d'électricité issue de centrale biomasse avec cogé</t>
  </si>
  <si>
    <t>Total prod déchets</t>
  </si>
  <si>
    <t>caispv_ground</t>
  </si>
  <si>
    <t>caispv_roof_com</t>
  </si>
  <si>
    <t>caispv_roof_indiv</t>
  </si>
  <si>
    <t>Biogaz</t>
  </si>
  <si>
    <t>caieof_float</t>
  </si>
  <si>
    <t>caieof_ground</t>
  </si>
  <si>
    <t>caihdr_river</t>
  </si>
  <si>
    <t>caihdr_lake</t>
  </si>
  <si>
    <t>donnée non utilisée mais vérif de cohérence avec sorties</t>
  </si>
  <si>
    <t>pec.gaz_pe</t>
  </si>
  <si>
    <t>Gaz naturel</t>
  </si>
  <si>
    <t>Consommation primaire de gaz naturel</t>
  </si>
  <si>
    <t>Import fossile</t>
  </si>
  <si>
    <t>Production nette d'électricité issue de centrales cogé gaz réseau</t>
  </si>
  <si>
    <t>Production nette d'électricité issue de centrales cogé biogaz</t>
  </si>
  <si>
    <t>Production nette d'électricité issue de centrales gaz sans cogé</t>
  </si>
  <si>
    <t>annual_production_gaz_coge_res</t>
  </si>
  <si>
    <t>annual_production_gaz_coge_biog</t>
  </si>
  <si>
    <t>annual_production_gaz_noncoge</t>
  </si>
  <si>
    <t>Centrales cogé gaz réseau</t>
  </si>
  <si>
    <t>Centrales cogé biogaz</t>
  </si>
  <si>
    <t>Total prod centrales gaz</t>
  </si>
  <si>
    <t>transports_v6.13</t>
  </si>
  <si>
    <t>industrie</t>
  </si>
  <si>
    <t>SEPIA</t>
  </si>
  <si>
    <t>nucléaire_v4.1</t>
  </si>
  <si>
    <t>PV_v4.2</t>
  </si>
  <si>
    <t>prod_thermique_v3.5</t>
  </si>
  <si>
    <t>Consommation finale d'électricité pour le chauffage des locaux</t>
  </si>
  <si>
    <t>Consommation finale d'électricité pour l'eau chaude sanitaire</t>
  </si>
  <si>
    <t>Consommation électrique finale pour la cuisson domestique</t>
  </si>
  <si>
    <t>Électricité spécifique</t>
  </si>
  <si>
    <t>Consommation finale d'électricité liée à la mobilité des passagers</t>
  </si>
  <si>
    <t>Consommation finale d'électricité dans le transport de marchandises</t>
  </si>
  <si>
    <t>Électricité</t>
  </si>
  <si>
    <t>Capacité éolienne terrestre installée</t>
  </si>
  <si>
    <t>Capacité installée des sources d'énergie marine</t>
  </si>
  <si>
    <t>Capacité installée en énergie géothermique à haute température et en CSP</t>
  </si>
  <si>
    <t>Facteur de charge moyen pour les systèmes photovoltaïques solaires</t>
  </si>
  <si>
    <t>Facteur de charge moyen pour l'éolien terrestre</t>
  </si>
  <si>
    <t>Facteur de charge moyen pour l'éolien offshore</t>
  </si>
  <si>
    <t>Facteur de charge moyen pour les sources d'énergie marines</t>
  </si>
  <si>
    <t>Facteur de charge moyen pour l'énergie géothermique à haute température et le CSP</t>
  </si>
  <si>
    <t>Consommation finale d'énergie provenant du réseau de gaz / gaz consommé localement pour le chauffage des locaux</t>
  </si>
  <si>
    <t>Consommation finale d'énergie provenant du réseau de gaz / gaz consommé localement pour l'eau chaude sanitaire</t>
  </si>
  <si>
    <t>Consommation finale d'énergie provenant du réseau de gaz / gaz consommé localement pour la cuisson domestique</t>
  </si>
  <si>
    <t>Consommation finale d'énergie provenant des carburants gazeux pour moteurs - méthane dans la mobilité des passagers</t>
  </si>
  <si>
    <t>Consommation finale de gaz méthane dans le transport de marchandises</t>
  </si>
  <si>
    <t>Consommation finale de GNV/biométhane pour le transport international de marchandises par voie maritime</t>
  </si>
  <si>
    <t>Réseau de gaz / gaz consommé localement</t>
  </si>
  <si>
    <t>Consommation non énergétique de gaz pour la production de matières premières</t>
  </si>
  <si>
    <t>Production de méthane par pyrogazéification/méthanisation</t>
  </si>
  <si>
    <t>Production primaire totale de biogaz</t>
  </si>
  <si>
    <t>demand_H2_exc</t>
  </si>
  <si>
    <t>demand_CH4_exc</t>
  </si>
  <si>
    <t>demand_H2_tot</t>
  </si>
  <si>
    <t>H2_import</t>
  </si>
  <si>
    <t>hydro</t>
  </si>
  <si>
    <t>PRODUCTION RENOUVELABLE CLEVER vs EOLES</t>
  </si>
  <si>
    <t>EOLES</t>
  </si>
  <si>
    <t xml:space="preserve">EOLES </t>
  </si>
  <si>
    <t>NL</t>
  </si>
  <si>
    <t>PT</t>
  </si>
  <si>
    <t>IE</t>
  </si>
  <si>
    <t>lost_load</t>
  </si>
  <si>
    <t xml:space="preserve">Modifications </t>
  </si>
  <si>
    <t>x1,4 onshore</t>
  </si>
  <si>
    <t>x1,5 river</t>
  </si>
  <si>
    <t>x10 river</t>
  </si>
  <si>
    <t>x2 capa +</t>
  </si>
  <si>
    <t>x5 CF curve</t>
  </si>
  <si>
    <t>Es</t>
  </si>
  <si>
    <t>x 1,3 solar</t>
  </si>
  <si>
    <t>x2 river</t>
  </si>
  <si>
    <t>x 1,1 solar</t>
  </si>
  <si>
    <t>x1,2 onshore</t>
  </si>
  <si>
    <t>35*</t>
  </si>
  <si>
    <t>279*</t>
  </si>
  <si>
    <t>37*</t>
  </si>
  <si>
    <t>48*</t>
  </si>
  <si>
    <t>10*</t>
  </si>
  <si>
    <t>58*</t>
  </si>
  <si>
    <t>heating res 2020</t>
  </si>
  <si>
    <t>heating res 2050</t>
  </si>
  <si>
    <t>cooling_res 2020</t>
  </si>
  <si>
    <t>cooling_res 2050</t>
  </si>
  <si>
    <t>factor heating</t>
  </si>
  <si>
    <t>heating_factor</t>
  </si>
  <si>
    <t>soldes imports</t>
  </si>
  <si>
    <t>demande CIRED</t>
  </si>
  <si>
    <t>demande CLEVER</t>
  </si>
  <si>
    <t>CLEVER</t>
  </si>
  <si>
    <t>CLEVER-CIRED</t>
  </si>
  <si>
    <t>somme</t>
  </si>
  <si>
    <t xml:space="preserve">diff </t>
  </si>
  <si>
    <t>diff NT</t>
  </si>
  <si>
    <t>demande CLEVER-EOLES</t>
  </si>
  <si>
    <t>CLEVER-EOLES</t>
  </si>
  <si>
    <t>CLEVER-EOLES NT</t>
  </si>
  <si>
    <t>import = valeur positive</t>
  </si>
  <si>
    <t>diff</t>
  </si>
  <si>
    <t>large déficit</t>
  </si>
  <si>
    <t>large excès en UE</t>
  </si>
  <si>
    <t>Final electricity consumption for server equipment (enterprise servers and data centers)</t>
  </si>
  <si>
    <t>Production nette d'électricité issue d'incinération des déchets (sans cogé)</t>
  </si>
  <si>
    <t>éolien_v3.3</t>
  </si>
  <si>
    <t>autres_EnR_élec_v1.4</t>
  </si>
  <si>
    <t>Bilan des imports</t>
  </si>
  <si>
    <t>CH4 CLEVER-base</t>
  </si>
  <si>
    <t>CH4 CLEVER-update</t>
  </si>
  <si>
    <t>CH4 EOLES</t>
  </si>
  <si>
    <t>H2 CLEVER-base</t>
  </si>
  <si>
    <t>H2 CLEVER-update</t>
  </si>
  <si>
    <t>H2 EOLES</t>
  </si>
  <si>
    <t>Elec CLEVER</t>
  </si>
  <si>
    <t>Elec EOLES</t>
  </si>
  <si>
    <t>Commentaire</t>
  </si>
  <si>
    <t>positif si export</t>
  </si>
  <si>
    <t>France : négaWatt 27</t>
  </si>
  <si>
    <t>fort déficit sur la zone</t>
  </si>
  <si>
    <t>fort déficit</t>
  </si>
  <si>
    <t>déficit</t>
  </si>
  <si>
    <t>fort excès</t>
  </si>
  <si>
    <t>excès</t>
  </si>
  <si>
    <t>Somme (TWh/an)</t>
  </si>
  <si>
    <t>ajout de la conso chaleur anciennement H2</t>
  </si>
  <si>
    <t>différence sur les imports</t>
  </si>
  <si>
    <t>non modifié</t>
  </si>
  <si>
    <t>Comparaison prod EnR</t>
  </si>
  <si>
    <t>diff prod primaire (TWh/an)</t>
  </si>
  <si>
    <t>Commentaires</t>
  </si>
  <si>
    <t>50% de l'offshore en moyenne</t>
  </si>
  <si>
    <t>82% du solaire en moyenne</t>
  </si>
  <si>
    <t>90% du solaire</t>
  </si>
  <si>
    <t>toujours full</t>
  </si>
  <si>
    <t>90% du solaire, 80% offshore</t>
  </si>
  <si>
    <t>95% offshore, 85% solaire</t>
  </si>
  <si>
    <t>85% solaire</t>
  </si>
  <si>
    <t>85% solaire et offshore</t>
  </si>
  <si>
    <t>année de référence : 2053</t>
  </si>
  <si>
    <t>différence liée aux pertes de transmissions</t>
  </si>
  <si>
    <t>erreur dans les données</t>
  </si>
  <si>
    <t>agriculture_v5</t>
  </si>
  <si>
    <t>prod-hydrogène_v3.7</t>
  </si>
  <si>
    <t>bioenergies-PtX_v1.27</t>
  </si>
  <si>
    <t>limit_biogas_extra_import</t>
  </si>
  <si>
    <t>bâtiment_démographie_v2.6</t>
  </si>
  <si>
    <t>Bilan des exports nets</t>
  </si>
  <si>
    <t>Excès de 68 TWh de production renouvelable en moyenne par rapport à CLEVER</t>
  </si>
  <si>
    <t>diff prod primaire( %)</t>
  </si>
  <si>
    <t>facteurs correctifs</t>
  </si>
  <si>
    <t>Comparaison prod EnR après modif</t>
  </si>
  <si>
    <t>Total chaleur cogé gaz</t>
  </si>
  <si>
    <t>lecture Sankey</t>
  </si>
  <si>
    <t>Total clim elec 2050</t>
  </si>
  <si>
    <t>Total clim elec 2019</t>
  </si>
  <si>
    <t>coef clim 2019 2050</t>
  </si>
  <si>
    <t>coef_clim_elec</t>
  </si>
  <si>
    <t>correction climat chauffage</t>
  </si>
  <si>
    <t>correction climat clim</t>
  </si>
  <si>
    <t>Total chauffage elec 2019 corrigé climat 2050</t>
  </si>
  <si>
    <t>Total clim elec 2019 corrigé climat 2050</t>
  </si>
  <si>
    <t>min_CF_hourly_nuclear</t>
  </si>
  <si>
    <t>max_CF_hourly_nuclear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</si>
</sst>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CCCCCC"/>
      <name val="Consolas"/>
      <family val="3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sz val="11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5A5A5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15" borderId="9" applyNumberFormat="0" applyAlignment="0" applyProtection="0"/>
  </cellStyleXfs>
  <cellXfs count="1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4" borderId="0" xfId="0" applyFill="1"/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/>
    <xf numFmtId="0" fontId="0" fillId="10" borderId="0" xfId="0" applyFill="1"/>
    <xf numFmtId="0" fontId="0" fillId="11" borderId="0" xfId="0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0" applyNumberFormat="1"/>
    <xf numFmtId="0" fontId="2" fillId="13" borderId="0" xfId="0" applyFont="1" applyFill="1" applyAlignment="1">
      <alignment vertical="center"/>
    </xf>
    <xf numFmtId="0" fontId="2" fillId="13" borderId="0" xfId="0" applyFont="1" applyFill="1"/>
    <xf numFmtId="0" fontId="6" fillId="0" borderId="0" xfId="0" applyFont="1"/>
    <xf numFmtId="0" fontId="0" fillId="14" borderId="0" xfId="0" applyFill="1"/>
    <xf numFmtId="165" fontId="12" fillId="12" borderId="0" xfId="0" applyNumberFormat="1" applyFont="1" applyFill="1"/>
    <xf numFmtId="165" fontId="1" fillId="0" borderId="0" xfId="0" applyNumberFormat="1" applyFont="1"/>
    <xf numFmtId="2" fontId="0" fillId="12" borderId="0" xfId="0" applyNumberFormat="1" applyFill="1"/>
    <xf numFmtId="166" fontId="0" fillId="12" borderId="0" xfId="0" applyNumberFormat="1" applyFill="1"/>
    <xf numFmtId="0" fontId="9" fillId="0" borderId="0" xfId="0" applyFont="1" applyAlignment="1">
      <alignment vertical="top" wrapText="1"/>
    </xf>
    <xf numFmtId="166" fontId="0" fillId="0" borderId="0" xfId="0" applyNumberFormat="1"/>
    <xf numFmtId="0" fontId="13" fillId="0" borderId="0" xfId="0" applyFont="1"/>
    <xf numFmtId="166" fontId="6" fillId="0" borderId="0" xfId="0" applyNumberFormat="1" applyFont="1"/>
    <xf numFmtId="0" fontId="0" fillId="20" borderId="0" xfId="0" applyFill="1"/>
    <xf numFmtId="166" fontId="12" fillId="12" borderId="0" xfId="0" applyNumberFormat="1" applyFont="1" applyFill="1"/>
    <xf numFmtId="0" fontId="1" fillId="22" borderId="0" xfId="0" applyFont="1" applyFill="1"/>
    <xf numFmtId="0" fontId="0" fillId="0" borderId="11" xfId="0" applyBorder="1"/>
    <xf numFmtId="0" fontId="0" fillId="0" borderId="12" xfId="0" applyBorder="1"/>
    <xf numFmtId="0" fontId="0" fillId="18" borderId="0" xfId="0" applyFill="1"/>
    <xf numFmtId="0" fontId="0" fillId="24" borderId="0" xfId="0" applyFill="1"/>
    <xf numFmtId="0" fontId="11" fillId="16" borderId="1" xfId="0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vertical="center"/>
    </xf>
    <xf numFmtId="0" fontId="9" fillId="0" borderId="1" xfId="0" applyFont="1" applyBorder="1" applyAlignment="1">
      <alignment vertical="top" wrapText="1"/>
    </xf>
    <xf numFmtId="0" fontId="14" fillId="8" borderId="1" xfId="0" applyFont="1" applyFill="1" applyBorder="1" applyAlignment="1">
      <alignment vertical="top"/>
    </xf>
    <xf numFmtId="4" fontId="9" fillId="0" borderId="1" xfId="0" applyNumberFormat="1" applyFont="1" applyBorder="1" applyAlignment="1">
      <alignment vertical="top" wrapText="1"/>
    </xf>
    <xf numFmtId="164" fontId="9" fillId="0" borderId="1" xfId="0" applyNumberFormat="1" applyFont="1" applyBorder="1" applyAlignment="1">
      <alignment horizontal="right" vertical="top" wrapText="1"/>
    </xf>
    <xf numFmtId="0" fontId="15" fillId="21" borderId="1" xfId="0" applyFont="1" applyFill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164" fontId="8" fillId="15" borderId="9" xfId="2" applyNumberFormat="1" applyAlignment="1">
      <alignment horizontal="right" vertical="top" wrapText="1"/>
    </xf>
    <xf numFmtId="0" fontId="9" fillId="0" borderId="10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164" fontId="9" fillId="0" borderId="8" xfId="0" applyNumberFormat="1" applyFont="1" applyBorder="1" applyAlignment="1">
      <alignment horizontal="right" vertical="top" wrapText="1"/>
    </xf>
    <xf numFmtId="0" fontId="14" fillId="19" borderId="1" xfId="0" applyFont="1" applyFill="1" applyBorder="1" applyAlignment="1">
      <alignment vertical="top"/>
    </xf>
    <xf numFmtId="0" fontId="16" fillId="11" borderId="1" xfId="0" applyFont="1" applyFill="1" applyBorder="1" applyAlignment="1">
      <alignment vertical="top"/>
    </xf>
    <xf numFmtId="0" fontId="9" fillId="18" borderId="1" xfId="0" applyFont="1" applyFill="1" applyBorder="1" applyAlignment="1">
      <alignment vertical="top" wrapText="1"/>
    </xf>
    <xf numFmtId="0" fontId="14" fillId="12" borderId="1" xfId="0" applyFont="1" applyFill="1" applyBorder="1" applyAlignment="1">
      <alignment vertical="top"/>
    </xf>
    <xf numFmtId="0" fontId="0" fillId="0" borderId="1" xfId="0" applyBorder="1"/>
    <xf numFmtId="9" fontId="9" fillId="0" borderId="1" xfId="1" applyFont="1" applyFill="1" applyBorder="1" applyAlignment="1">
      <alignment horizontal="right" vertical="top" wrapText="1"/>
    </xf>
    <xf numFmtId="0" fontId="6" fillId="23" borderId="10" xfId="0" applyFont="1" applyFill="1" applyBorder="1"/>
    <xf numFmtId="0" fontId="6" fillId="25" borderId="12" xfId="0" applyFont="1" applyFill="1" applyBorder="1"/>
    <xf numFmtId="0" fontId="6" fillId="0" borderId="1" xfId="0" applyFont="1" applyBorder="1"/>
    <xf numFmtId="0" fontId="6" fillId="0" borderId="7" xfId="0" applyFont="1" applyBorder="1"/>
    <xf numFmtId="0" fontId="6" fillId="0" borderId="8" xfId="0" applyFont="1" applyBorder="1"/>
    <xf numFmtId="0" fontId="0" fillId="23" borderId="0" xfId="0" applyFill="1"/>
    <xf numFmtId="0" fontId="0" fillId="23" borderId="13" xfId="0" applyFill="1" applyBorder="1"/>
    <xf numFmtId="0" fontId="6" fillId="0" borderId="14" xfId="0" applyFont="1" applyBorder="1"/>
    <xf numFmtId="0" fontId="6" fillId="0" borderId="4" xfId="0" applyFont="1" applyBorder="1"/>
    <xf numFmtId="0" fontId="17" fillId="0" borderId="0" xfId="0" applyFont="1"/>
    <xf numFmtId="0" fontId="6" fillId="23" borderId="12" xfId="0" applyFont="1" applyFill="1" applyBorder="1"/>
    <xf numFmtId="0" fontId="6" fillId="23" borderId="11" xfId="0" applyFont="1" applyFill="1" applyBorder="1"/>
    <xf numFmtId="0" fontId="6" fillId="25" borderId="1" xfId="0" applyFont="1" applyFill="1" applyBorder="1"/>
    <xf numFmtId="0" fontId="0" fillId="23" borderId="2" xfId="0" applyFill="1" applyBorder="1"/>
    <xf numFmtId="0" fontId="0" fillId="23" borderId="4" xfId="0" applyFill="1" applyBorder="1"/>
    <xf numFmtId="0" fontId="0" fillId="23" borderId="3" xfId="0" applyFill="1" applyBorder="1"/>
    <xf numFmtId="0" fontId="0" fillId="23" borderId="5" xfId="0" applyFill="1" applyBorder="1"/>
    <xf numFmtId="0" fontId="0" fillId="22" borderId="0" xfId="0" applyFill="1"/>
    <xf numFmtId="0" fontId="6" fillId="26" borderId="15" xfId="0" applyFont="1" applyFill="1" applyBorder="1"/>
    <xf numFmtId="0" fontId="6" fillId="23" borderId="16" xfId="0" applyFont="1" applyFill="1" applyBorder="1"/>
    <xf numFmtId="0" fontId="6" fillId="25" borderId="17" xfId="0" applyFont="1" applyFill="1" applyBorder="1"/>
    <xf numFmtId="0" fontId="17" fillId="26" borderId="18" xfId="0" applyFont="1" applyFill="1" applyBorder="1"/>
    <xf numFmtId="0" fontId="17" fillId="23" borderId="0" xfId="0" applyFont="1" applyFill="1"/>
    <xf numFmtId="0" fontId="0" fillId="25" borderId="19" xfId="0" applyFill="1" applyBorder="1"/>
    <xf numFmtId="0" fontId="0" fillId="26" borderId="18" xfId="0" applyFill="1" applyBorder="1"/>
    <xf numFmtId="0" fontId="0" fillId="26" borderId="20" xfId="0" applyFill="1" applyBorder="1"/>
    <xf numFmtId="0" fontId="0" fillId="25" borderId="21" xfId="0" applyFill="1" applyBorder="1"/>
    <xf numFmtId="0" fontId="6" fillId="0" borderId="22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11" xfId="0" applyFont="1" applyBorder="1"/>
    <xf numFmtId="0" fontId="6" fillId="0" borderId="2" xfId="0" applyFont="1" applyBorder="1"/>
    <xf numFmtId="0" fontId="6" fillId="10" borderId="15" xfId="0" applyFont="1" applyFill="1" applyBorder="1"/>
    <xf numFmtId="0" fontId="17" fillId="10" borderId="18" xfId="0" applyFont="1" applyFill="1" applyBorder="1"/>
    <xf numFmtId="0" fontId="0" fillId="10" borderId="18" xfId="0" applyFill="1" applyBorder="1"/>
    <xf numFmtId="0" fontId="18" fillId="25" borderId="19" xfId="0" applyFont="1" applyFill="1" applyBorder="1"/>
    <xf numFmtId="0" fontId="0" fillId="10" borderId="20" xfId="0" applyFill="1" applyBorder="1"/>
    <xf numFmtId="0" fontId="6" fillId="23" borderId="15" xfId="0" applyFont="1" applyFill="1" applyBorder="1"/>
    <xf numFmtId="0" fontId="17" fillId="23" borderId="18" xfId="0" applyFont="1" applyFill="1" applyBorder="1"/>
    <xf numFmtId="0" fontId="0" fillId="23" borderId="18" xfId="0" applyFill="1" applyBorder="1"/>
    <xf numFmtId="0" fontId="0" fillId="23" borderId="20" xfId="0" applyFill="1" applyBorder="1"/>
    <xf numFmtId="0" fontId="18" fillId="0" borderId="23" xfId="0" applyFont="1" applyBorder="1"/>
    <xf numFmtId="2" fontId="0" fillId="0" borderId="0" xfId="0" applyNumberFormat="1"/>
    <xf numFmtId="0" fontId="1" fillId="25" borderId="19" xfId="0" applyFont="1" applyFill="1" applyBorder="1"/>
    <xf numFmtId="10" fontId="0" fillId="0" borderId="0" xfId="1" applyNumberFormat="1" applyFont="1"/>
    <xf numFmtId="0" fontId="6" fillId="25" borderId="10" xfId="0" applyFont="1" applyFill="1" applyBorder="1"/>
    <xf numFmtId="2" fontId="0" fillId="14" borderId="0" xfId="0" applyNumberFormat="1" applyFill="1"/>
    <xf numFmtId="0" fontId="0" fillId="27" borderId="0" xfId="0" applyFill="1"/>
    <xf numFmtId="9" fontId="6" fillId="0" borderId="0" xfId="0" applyNumberFormat="1" applyFont="1"/>
    <xf numFmtId="0" fontId="0" fillId="0" borderId="14" xfId="0" applyBorder="1"/>
    <xf numFmtId="166" fontId="0" fillId="0" borderId="27" xfId="0" applyNumberFormat="1" applyBorder="1"/>
    <xf numFmtId="0" fontId="0" fillId="0" borderId="28" xfId="0" applyBorder="1"/>
    <xf numFmtId="166" fontId="0" fillId="0" borderId="13" xfId="0" applyNumberFormat="1" applyBorder="1"/>
    <xf numFmtId="2" fontId="6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5" fillId="23" borderId="0" xfId="0" applyFont="1" applyFill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22" borderId="11" xfId="0" applyFont="1" applyFill="1" applyBorder="1" applyAlignment="1">
      <alignment horizontal="center"/>
    </xf>
    <xf numFmtId="0" fontId="6" fillId="22" borderId="10" xfId="0" applyFont="1" applyFill="1" applyBorder="1" applyAlignment="1">
      <alignment horizontal="center"/>
    </xf>
    <xf numFmtId="0" fontId="6" fillId="22" borderId="12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3" borderId="11" xfId="0" applyFont="1" applyFill="1" applyBorder="1" applyAlignment="1">
      <alignment horizontal="center"/>
    </xf>
    <xf numFmtId="0" fontId="6" fillId="23" borderId="10" xfId="0" applyFont="1" applyFill="1" applyBorder="1" applyAlignment="1">
      <alignment horizontal="center"/>
    </xf>
    <xf numFmtId="0" fontId="6" fillId="23" borderId="12" xfId="0" applyFont="1" applyFill="1" applyBorder="1" applyAlignment="1">
      <alignment horizontal="center"/>
    </xf>
    <xf numFmtId="0" fontId="6" fillId="25" borderId="11" xfId="0" applyFont="1" applyFill="1" applyBorder="1" applyAlignment="1">
      <alignment horizontal="center"/>
    </xf>
    <xf numFmtId="0" fontId="6" fillId="25" borderId="10" xfId="0" applyFont="1" applyFill="1" applyBorder="1" applyAlignment="1">
      <alignment horizontal="center"/>
    </xf>
    <xf numFmtId="0" fontId="6" fillId="25" borderId="12" xfId="0" applyFont="1" applyFill="1" applyBorder="1" applyAlignment="1">
      <alignment horizontal="center"/>
    </xf>
  </cellXfs>
  <cellStyles count="3">
    <cellStyle name="Normal" xfId="0" builtinId="0"/>
    <cellStyle name="Pourcentage" xfId="1" builtinId="5"/>
    <cellStyle name="Vérification" xfId="2" builtinId="23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"/>
  <sheetViews>
    <sheetView workbookViewId="0">
      <selection activeCell="D29" sqref="D29"/>
    </sheetView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99FD-0C8E-4BEB-BC2D-CA0F2F27A590}">
  <dimension ref="A1:H23"/>
  <sheetViews>
    <sheetView topLeftCell="A2" workbookViewId="0">
      <selection activeCell="B10" sqref="B10"/>
    </sheetView>
  </sheetViews>
  <sheetFormatPr baseColWidth="10" defaultRowHeight="14.4" x14ac:dyDescent="0.3"/>
  <cols>
    <col min="1" max="1" width="27.44140625" customWidth="1"/>
    <col min="2" max="2" width="74.109375" customWidth="1"/>
    <col min="3" max="3" width="30" customWidth="1"/>
  </cols>
  <sheetData>
    <row r="1" spans="1:8" ht="14.4" customHeight="1" x14ac:dyDescent="0.3">
      <c r="A1" s="121" t="s">
        <v>103</v>
      </c>
      <c r="B1" s="121"/>
      <c r="C1" s="121"/>
      <c r="D1" s="14"/>
      <c r="E1" s="14"/>
      <c r="F1" s="14"/>
      <c r="G1" s="14"/>
      <c r="H1" s="14"/>
    </row>
    <row r="2" spans="1:8" ht="14.4" customHeight="1" x14ac:dyDescent="0.3">
      <c r="A2" s="121"/>
      <c r="B2" s="121"/>
      <c r="C2" s="121"/>
      <c r="D2" s="14"/>
      <c r="E2" s="14"/>
      <c r="F2" s="14"/>
      <c r="G2" s="14"/>
      <c r="H2" s="14"/>
    </row>
    <row r="3" spans="1:8" ht="14.4" customHeight="1" x14ac:dyDescent="0.3">
      <c r="A3" s="121"/>
      <c r="B3" s="121"/>
      <c r="C3" s="121"/>
      <c r="D3" s="14"/>
      <c r="E3" s="14"/>
      <c r="F3" s="14"/>
      <c r="G3" s="14"/>
      <c r="H3" s="14"/>
    </row>
    <row r="4" spans="1:8" ht="23.4" x14ac:dyDescent="0.3">
      <c r="A4" s="19" t="s">
        <v>120</v>
      </c>
      <c r="B4" s="19" t="s">
        <v>132</v>
      </c>
      <c r="C4" s="19" t="s">
        <v>121</v>
      </c>
      <c r="D4" s="13"/>
      <c r="E4" s="13"/>
      <c r="F4" s="13"/>
      <c r="G4" s="13"/>
      <c r="H4" s="13"/>
    </row>
    <row r="5" spans="1:8" x14ac:dyDescent="0.3">
      <c r="A5" s="15" t="s">
        <v>425</v>
      </c>
      <c r="B5" s="20" t="s">
        <v>427</v>
      </c>
      <c r="C5" s="16"/>
    </row>
    <row r="6" spans="1:8" x14ac:dyDescent="0.3">
      <c r="A6" s="15" t="s">
        <v>426</v>
      </c>
      <c r="B6" s="21" t="s">
        <v>428</v>
      </c>
      <c r="C6" s="16"/>
    </row>
    <row r="7" spans="1:8" x14ac:dyDescent="0.3">
      <c r="A7" s="15" t="s">
        <v>423</v>
      </c>
      <c r="B7" s="21" t="s">
        <v>424</v>
      </c>
      <c r="C7" s="16"/>
    </row>
    <row r="8" spans="1:8" x14ac:dyDescent="0.3">
      <c r="A8" s="15" t="s">
        <v>104</v>
      </c>
      <c r="B8" s="21" t="s">
        <v>117</v>
      </c>
      <c r="C8" s="16" t="s">
        <v>122</v>
      </c>
    </row>
    <row r="9" spans="1:8" x14ac:dyDescent="0.3">
      <c r="A9" s="15" t="s">
        <v>30</v>
      </c>
      <c r="B9" s="21" t="s">
        <v>118</v>
      </c>
      <c r="C9" s="16" t="s">
        <v>0</v>
      </c>
    </row>
    <row r="10" spans="1:8" x14ac:dyDescent="0.3">
      <c r="A10" s="15" t="s">
        <v>105</v>
      </c>
      <c r="B10" s="21" t="s">
        <v>116</v>
      </c>
      <c r="C10" s="16" t="s">
        <v>0</v>
      </c>
    </row>
    <row r="11" spans="1:8" x14ac:dyDescent="0.3">
      <c r="A11" s="15" t="s">
        <v>106</v>
      </c>
      <c r="B11" s="21" t="s">
        <v>119</v>
      </c>
      <c r="C11" s="16" t="s">
        <v>0</v>
      </c>
    </row>
    <row r="12" spans="1:8" x14ac:dyDescent="0.3">
      <c r="A12" s="15" t="s">
        <v>71</v>
      </c>
      <c r="B12" s="21" t="s">
        <v>123</v>
      </c>
      <c r="C12" s="16" t="s">
        <v>71</v>
      </c>
    </row>
    <row r="13" spans="1:8" x14ac:dyDescent="0.3">
      <c r="A13" s="15" t="s">
        <v>107</v>
      </c>
      <c r="B13" s="21" t="s">
        <v>124</v>
      </c>
      <c r="C13" s="16" t="s">
        <v>130</v>
      </c>
    </row>
    <row r="14" spans="1:8" x14ac:dyDescent="0.3">
      <c r="A14" s="15" t="s">
        <v>108</v>
      </c>
      <c r="B14" s="21" t="s">
        <v>125</v>
      </c>
      <c r="C14" s="16" t="s">
        <v>130</v>
      </c>
    </row>
    <row r="15" spans="1:8" x14ac:dyDescent="0.3">
      <c r="A15" s="15" t="s">
        <v>109</v>
      </c>
      <c r="B15" s="21" t="s">
        <v>124</v>
      </c>
      <c r="C15" s="16" t="s">
        <v>130</v>
      </c>
    </row>
    <row r="16" spans="1:8" x14ac:dyDescent="0.3">
      <c r="A16" s="15" t="s">
        <v>110</v>
      </c>
      <c r="B16" s="21" t="s">
        <v>125</v>
      </c>
      <c r="C16" s="16" t="s">
        <v>130</v>
      </c>
    </row>
    <row r="17" spans="1:3" x14ac:dyDescent="0.3">
      <c r="A17" s="15" t="s">
        <v>111</v>
      </c>
      <c r="B17" s="21" t="s">
        <v>124</v>
      </c>
      <c r="C17" s="16" t="s">
        <v>130</v>
      </c>
    </row>
    <row r="18" spans="1:3" x14ac:dyDescent="0.3">
      <c r="A18" s="15" t="s">
        <v>112</v>
      </c>
      <c r="B18" s="21" t="s">
        <v>125</v>
      </c>
      <c r="C18" s="16" t="s">
        <v>130</v>
      </c>
    </row>
    <row r="19" spans="1:3" x14ac:dyDescent="0.3">
      <c r="A19" s="15" t="s">
        <v>113</v>
      </c>
      <c r="B19" s="21" t="s">
        <v>126</v>
      </c>
      <c r="C19" s="16" t="s">
        <v>131</v>
      </c>
    </row>
    <row r="20" spans="1:3" x14ac:dyDescent="0.3">
      <c r="A20" s="15" t="s">
        <v>114</v>
      </c>
      <c r="B20" s="21" t="s">
        <v>127</v>
      </c>
      <c r="C20" s="16" t="s">
        <v>0</v>
      </c>
    </row>
    <row r="21" spans="1:3" x14ac:dyDescent="0.3">
      <c r="A21" s="15" t="s">
        <v>115</v>
      </c>
      <c r="B21" s="21" t="s">
        <v>128</v>
      </c>
      <c r="C21" s="16" t="s">
        <v>129</v>
      </c>
    </row>
    <row r="22" spans="1:3" x14ac:dyDescent="0.3">
      <c r="A22" s="15"/>
      <c r="B22" s="21"/>
      <c r="C22" s="16"/>
    </row>
    <row r="23" spans="1:3" x14ac:dyDescent="0.3">
      <c r="A23" s="17"/>
      <c r="B23" s="22"/>
      <c r="C23" s="18"/>
    </row>
  </sheetData>
  <mergeCells count="1">
    <mergeCell ref="A1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2B87-5405-41E3-9E8E-D745CC63FB85}">
  <sheetPr>
    <tabColor theme="7"/>
  </sheetPr>
  <dimension ref="A1:BK129"/>
  <sheetViews>
    <sheetView zoomScale="66" zoomScaleNormal="100" workbookViewId="0">
      <pane ySplit="1" topLeftCell="A27" activePane="bottomLeft" state="frozen"/>
      <selection pane="bottomLeft" activeCell="F52" sqref="F52"/>
    </sheetView>
  </sheetViews>
  <sheetFormatPr baseColWidth="10" defaultColWidth="8.77734375" defaultRowHeight="14.4" outlineLevelCol="1" x14ac:dyDescent="0.3"/>
  <cols>
    <col min="1" max="1" width="19.109375" bestFit="1" customWidth="1"/>
    <col min="2" max="2" width="21.21875" customWidth="1" outlineLevel="1"/>
    <col min="3" max="3" width="28.88671875" customWidth="1"/>
    <col min="4" max="4" width="25.109375" bestFit="1" customWidth="1"/>
    <col min="5" max="5" width="18.6640625" customWidth="1"/>
    <col min="6" max="6" width="79.109375" bestFit="1" customWidth="1"/>
    <col min="7" max="7" width="11.109375" customWidth="1"/>
    <col min="8" max="8" width="23.77734375" hidden="1" customWidth="1" outlineLevel="1"/>
    <col min="9" max="9" width="25.77734375" hidden="1" customWidth="1" outlineLevel="1"/>
    <col min="10" max="10" width="6.88671875" customWidth="1" collapsed="1"/>
    <col min="11" max="20" width="6.88671875" hidden="1" customWidth="1" outlineLevel="1"/>
    <col min="21" max="21" width="6.88671875" customWidth="1" collapsed="1"/>
    <col min="22" max="30" width="6.88671875" hidden="1" customWidth="1" outlineLevel="1"/>
    <col min="31" max="31" width="6.88671875" customWidth="1" collapsed="1"/>
    <col min="32" max="40" width="6.88671875" hidden="1" customWidth="1" outlineLevel="1"/>
    <col min="41" max="41" width="6.88671875" customWidth="1" collapsed="1"/>
    <col min="42" max="60" width="6.88671875" hidden="1" customWidth="1" outlineLevel="1"/>
    <col min="61" max="61" width="6.88671875" customWidth="1" collapsed="1"/>
    <col min="62" max="62" width="19.21875" hidden="1" customWidth="1"/>
    <col min="63" max="63" width="24.109375" hidden="1" customWidth="1"/>
  </cols>
  <sheetData>
    <row r="1" spans="1:63" x14ac:dyDescent="0.3">
      <c r="A1" s="43" t="s">
        <v>346</v>
      </c>
      <c r="B1" s="44" t="s">
        <v>438</v>
      </c>
      <c r="C1" s="43" t="s">
        <v>443</v>
      </c>
      <c r="D1" s="43" t="s">
        <v>345</v>
      </c>
      <c r="E1" s="43" t="s">
        <v>344</v>
      </c>
      <c r="F1" s="43" t="s">
        <v>343</v>
      </c>
      <c r="G1" s="43" t="s">
        <v>342</v>
      </c>
      <c r="H1" s="43" t="s">
        <v>341</v>
      </c>
      <c r="I1" s="43" t="s">
        <v>340</v>
      </c>
      <c r="J1" s="45">
        <v>2019</v>
      </c>
      <c r="K1" s="45">
        <f>J1+1</f>
        <v>2020</v>
      </c>
      <c r="L1" s="45">
        <f t="shared" ref="L1:BI1" si="0">K1+1</f>
        <v>2021</v>
      </c>
      <c r="M1" s="45">
        <f t="shared" si="0"/>
        <v>2022</v>
      </c>
      <c r="N1" s="45">
        <f t="shared" si="0"/>
        <v>2023</v>
      </c>
      <c r="O1" s="45">
        <f t="shared" si="0"/>
        <v>2024</v>
      </c>
      <c r="P1" s="45">
        <f t="shared" si="0"/>
        <v>2025</v>
      </c>
      <c r="Q1" s="45">
        <f t="shared" si="0"/>
        <v>2026</v>
      </c>
      <c r="R1" s="45">
        <f t="shared" si="0"/>
        <v>2027</v>
      </c>
      <c r="S1" s="45">
        <f t="shared" si="0"/>
        <v>2028</v>
      </c>
      <c r="T1" s="45">
        <f t="shared" si="0"/>
        <v>2029</v>
      </c>
      <c r="U1" s="45">
        <f t="shared" si="0"/>
        <v>2030</v>
      </c>
      <c r="V1" s="45">
        <f t="shared" si="0"/>
        <v>2031</v>
      </c>
      <c r="W1" s="45">
        <f t="shared" si="0"/>
        <v>2032</v>
      </c>
      <c r="X1" s="45">
        <f t="shared" si="0"/>
        <v>2033</v>
      </c>
      <c r="Y1" s="45">
        <f t="shared" si="0"/>
        <v>2034</v>
      </c>
      <c r="Z1" s="45">
        <f t="shared" si="0"/>
        <v>2035</v>
      </c>
      <c r="AA1" s="45">
        <f t="shared" si="0"/>
        <v>2036</v>
      </c>
      <c r="AB1" s="45">
        <f t="shared" si="0"/>
        <v>2037</v>
      </c>
      <c r="AC1" s="45">
        <f t="shared" si="0"/>
        <v>2038</v>
      </c>
      <c r="AD1" s="45">
        <f t="shared" si="0"/>
        <v>2039</v>
      </c>
      <c r="AE1" s="45">
        <f t="shared" si="0"/>
        <v>2040</v>
      </c>
      <c r="AF1" s="45">
        <f t="shared" si="0"/>
        <v>2041</v>
      </c>
      <c r="AG1" s="45">
        <f t="shared" si="0"/>
        <v>2042</v>
      </c>
      <c r="AH1" s="45">
        <f t="shared" si="0"/>
        <v>2043</v>
      </c>
      <c r="AI1" s="45">
        <f t="shared" si="0"/>
        <v>2044</v>
      </c>
      <c r="AJ1" s="45">
        <f t="shared" si="0"/>
        <v>2045</v>
      </c>
      <c r="AK1" s="45">
        <f t="shared" si="0"/>
        <v>2046</v>
      </c>
      <c r="AL1" s="45">
        <f t="shared" si="0"/>
        <v>2047</v>
      </c>
      <c r="AM1" s="45">
        <f t="shared" si="0"/>
        <v>2048</v>
      </c>
      <c r="AN1" s="45">
        <f t="shared" si="0"/>
        <v>2049</v>
      </c>
      <c r="AO1" s="45">
        <f t="shared" si="0"/>
        <v>2050</v>
      </c>
      <c r="AP1" s="45">
        <f t="shared" si="0"/>
        <v>2051</v>
      </c>
      <c r="AQ1" s="45">
        <f t="shared" si="0"/>
        <v>2052</v>
      </c>
      <c r="AR1" s="45">
        <f t="shared" si="0"/>
        <v>2053</v>
      </c>
      <c r="AS1" s="45">
        <f t="shared" si="0"/>
        <v>2054</v>
      </c>
      <c r="AT1" s="45">
        <f t="shared" si="0"/>
        <v>2055</v>
      </c>
      <c r="AU1" s="45">
        <f t="shared" si="0"/>
        <v>2056</v>
      </c>
      <c r="AV1" s="45">
        <f t="shared" si="0"/>
        <v>2057</v>
      </c>
      <c r="AW1" s="45">
        <f t="shared" si="0"/>
        <v>2058</v>
      </c>
      <c r="AX1" s="45">
        <f t="shared" si="0"/>
        <v>2059</v>
      </c>
      <c r="AY1" s="45">
        <f t="shared" si="0"/>
        <v>2060</v>
      </c>
      <c r="AZ1" s="45">
        <f t="shared" si="0"/>
        <v>2061</v>
      </c>
      <c r="BA1" s="45">
        <f t="shared" si="0"/>
        <v>2062</v>
      </c>
      <c r="BB1" s="45">
        <f t="shared" si="0"/>
        <v>2063</v>
      </c>
      <c r="BC1" s="45">
        <f t="shared" si="0"/>
        <v>2064</v>
      </c>
      <c r="BD1" s="45">
        <f t="shared" si="0"/>
        <v>2065</v>
      </c>
      <c r="BE1" s="45">
        <f t="shared" si="0"/>
        <v>2066</v>
      </c>
      <c r="BF1" s="45">
        <f t="shared" si="0"/>
        <v>2067</v>
      </c>
      <c r="BG1" s="45">
        <f t="shared" si="0"/>
        <v>2068</v>
      </c>
      <c r="BH1" s="45">
        <f t="shared" si="0"/>
        <v>2069</v>
      </c>
      <c r="BI1" s="45">
        <f t="shared" si="0"/>
        <v>2070</v>
      </c>
      <c r="BJ1" s="46" t="s">
        <v>339</v>
      </c>
      <c r="BK1" s="46" t="s">
        <v>338</v>
      </c>
    </row>
    <row r="2" spans="1:63" x14ac:dyDescent="0.3">
      <c r="A2" s="47" t="s">
        <v>270</v>
      </c>
      <c r="B2" s="48" t="s">
        <v>429</v>
      </c>
      <c r="C2" s="47" t="s">
        <v>393</v>
      </c>
      <c r="D2" s="47" t="s">
        <v>233</v>
      </c>
      <c r="E2" s="47" t="s">
        <v>232</v>
      </c>
      <c r="F2" s="47" t="s">
        <v>240</v>
      </c>
      <c r="G2" s="47" t="s">
        <v>99</v>
      </c>
      <c r="H2" s="47" t="s">
        <v>337</v>
      </c>
      <c r="I2" s="49" t="s">
        <v>622</v>
      </c>
      <c r="J2" s="50">
        <v>48.470840000000003</v>
      </c>
      <c r="K2" s="50">
        <v>44.726750000000003</v>
      </c>
      <c r="L2" s="50">
        <v>45.521880000000003</v>
      </c>
      <c r="M2" s="50">
        <v>41.884799999999998</v>
      </c>
      <c r="N2" s="50">
        <v>38.356909999999999</v>
      </c>
      <c r="O2" s="50">
        <v>37.063099999999999</v>
      </c>
      <c r="P2" s="50">
        <v>36.91469</v>
      </c>
      <c r="Q2" s="50">
        <v>36.778019999999998</v>
      </c>
      <c r="R2" s="50">
        <v>36.663739999999997</v>
      </c>
      <c r="S2" s="50">
        <v>36.579430000000002</v>
      </c>
      <c r="T2" s="50">
        <v>36.5349</v>
      </c>
      <c r="U2" s="50">
        <v>36.540349999999997</v>
      </c>
      <c r="V2" s="50">
        <v>36.573210000000003</v>
      </c>
      <c r="W2" s="50">
        <v>36.665489999999998</v>
      </c>
      <c r="X2" s="50">
        <v>36.80986</v>
      </c>
      <c r="Y2" s="50">
        <v>36.995460000000001</v>
      </c>
      <c r="Z2" s="50">
        <v>37.209510000000002</v>
      </c>
      <c r="AA2" s="50">
        <v>37.429209999999998</v>
      </c>
      <c r="AB2" s="50">
        <v>37.615699999999997</v>
      </c>
      <c r="AC2" s="50">
        <v>37.72222</v>
      </c>
      <c r="AD2" s="50">
        <v>37.709600000000002</v>
      </c>
      <c r="AE2" s="50">
        <v>37.557229999999997</v>
      </c>
      <c r="AF2" s="50">
        <v>37.265819999999998</v>
      </c>
      <c r="AG2" s="50">
        <v>36.855820000000001</v>
      </c>
      <c r="AH2" s="50">
        <v>36.360199999999999</v>
      </c>
      <c r="AI2" s="50">
        <v>35.816749999999999</v>
      </c>
      <c r="AJ2" s="50">
        <v>34.843060000000001</v>
      </c>
      <c r="AK2" s="50">
        <v>33.725580000000001</v>
      </c>
      <c r="AL2" s="50">
        <v>32.658729999999998</v>
      </c>
      <c r="AM2" s="50">
        <v>31.649069999999998</v>
      </c>
      <c r="AN2" s="50">
        <v>30.691099999999999</v>
      </c>
      <c r="AO2" s="50">
        <v>29.77571</v>
      </c>
      <c r="AP2" s="50">
        <v>29.265789999999999</v>
      </c>
      <c r="AQ2" s="50">
        <v>28.814250000000001</v>
      </c>
      <c r="AR2" s="50">
        <v>28.424980000000001</v>
      </c>
      <c r="AS2" s="50">
        <v>28.093879999999999</v>
      </c>
      <c r="AT2" s="50">
        <v>27.999079999999999</v>
      </c>
      <c r="AU2" s="50">
        <v>27.917809999999999</v>
      </c>
      <c r="AV2" s="50">
        <v>27.825320000000001</v>
      </c>
      <c r="AW2" s="50">
        <v>27.75478</v>
      </c>
      <c r="AX2" s="50">
        <v>27.685130000000001</v>
      </c>
      <c r="AY2" s="50">
        <v>27.616320000000002</v>
      </c>
      <c r="AZ2" s="50">
        <v>27.548480000000001</v>
      </c>
      <c r="BA2" s="50">
        <v>27.481760000000001</v>
      </c>
      <c r="BB2" s="50">
        <v>27.41638</v>
      </c>
      <c r="BC2" s="50">
        <v>27.35258</v>
      </c>
      <c r="BD2" s="50">
        <v>27.290590000000002</v>
      </c>
      <c r="BE2" s="50">
        <v>27.23068</v>
      </c>
      <c r="BF2" s="50">
        <v>27.173079999999999</v>
      </c>
      <c r="BG2" s="50">
        <v>27.118120000000001</v>
      </c>
      <c r="BH2" s="50">
        <v>27.066330000000001</v>
      </c>
      <c r="BI2" s="50">
        <v>27.016970000000001</v>
      </c>
      <c r="BJ2" t="s">
        <v>504</v>
      </c>
      <c r="BK2" t="b">
        <v>1</v>
      </c>
    </row>
    <row r="3" spans="1:63" x14ac:dyDescent="0.3">
      <c r="A3" s="47" t="s">
        <v>270</v>
      </c>
      <c r="B3" s="48" t="s">
        <v>429</v>
      </c>
      <c r="C3" s="47" t="s">
        <v>394</v>
      </c>
      <c r="D3" s="47" t="s">
        <v>233</v>
      </c>
      <c r="E3" s="47" t="s">
        <v>326</v>
      </c>
      <c r="F3" s="47" t="s">
        <v>336</v>
      </c>
      <c r="G3" s="47" t="s">
        <v>99</v>
      </c>
      <c r="H3" s="47" t="s">
        <v>335</v>
      </c>
      <c r="I3" s="49" t="s">
        <v>622</v>
      </c>
      <c r="J3" s="50">
        <v>2.6383399999999999</v>
      </c>
      <c r="K3" s="50">
        <v>2.8131400000000002</v>
      </c>
      <c r="L3" s="50">
        <v>2.7414999999999998</v>
      </c>
      <c r="M3" s="50">
        <v>2.6698599999999999</v>
      </c>
      <c r="N3" s="50">
        <v>2.59822</v>
      </c>
      <c r="O3" s="50">
        <v>2.52658</v>
      </c>
      <c r="P3" s="50">
        <v>2.4549400000000001</v>
      </c>
      <c r="Q3" s="50">
        <v>2.3832900000000001</v>
      </c>
      <c r="R3" s="50">
        <v>2.3116500000000002</v>
      </c>
      <c r="S3" s="50">
        <v>2.2400099999999998</v>
      </c>
      <c r="T3" s="50">
        <v>2.1683699999999999</v>
      </c>
      <c r="U3" s="50">
        <v>2.09673</v>
      </c>
      <c r="V3" s="50">
        <v>2.1507700000000001</v>
      </c>
      <c r="W3" s="50">
        <v>2.2048199999999998</v>
      </c>
      <c r="X3" s="50">
        <v>2.2588599999999999</v>
      </c>
      <c r="Y3" s="50">
        <v>2.3129</v>
      </c>
      <c r="Z3" s="50">
        <v>2.36694</v>
      </c>
      <c r="AA3" s="50">
        <v>2.4209900000000002</v>
      </c>
      <c r="AB3" s="50">
        <v>2.4750299999999998</v>
      </c>
      <c r="AC3" s="50">
        <v>2.5290699999999999</v>
      </c>
      <c r="AD3" s="50">
        <v>2.58311</v>
      </c>
      <c r="AE3" s="50">
        <v>2.6371600000000002</v>
      </c>
      <c r="AF3" s="50">
        <v>2.7074699999999998</v>
      </c>
      <c r="AG3" s="50">
        <v>2.7777799999999999</v>
      </c>
      <c r="AH3" s="50">
        <v>2.84809</v>
      </c>
      <c r="AI3" s="50">
        <v>2.9184000000000001</v>
      </c>
      <c r="AJ3" s="50">
        <v>2.9887199999999998</v>
      </c>
      <c r="AK3" s="50">
        <v>3.0590299999999999</v>
      </c>
      <c r="AL3" s="50">
        <v>3.12934</v>
      </c>
      <c r="AM3" s="50">
        <v>3.1996500000000001</v>
      </c>
      <c r="AN3" s="50">
        <v>3.2699600000000002</v>
      </c>
      <c r="AO3" s="50">
        <f>6+3.34028</f>
        <v>9.3402799999999999</v>
      </c>
      <c r="AP3" s="50">
        <v>3.3402799999999999</v>
      </c>
      <c r="AQ3" s="50">
        <v>3.3402799999999999</v>
      </c>
      <c r="AR3" s="50">
        <v>3.3402799999999999</v>
      </c>
      <c r="AS3" s="50">
        <v>3.3402799999999999</v>
      </c>
      <c r="AT3" s="50">
        <v>3.3402799999999999</v>
      </c>
      <c r="AU3" s="50">
        <v>3.3402799999999999</v>
      </c>
      <c r="AV3" s="50">
        <v>3.3402799999999999</v>
      </c>
      <c r="AW3" s="50">
        <v>3.3402799999999999</v>
      </c>
      <c r="AX3" s="50">
        <v>3.3402799999999999</v>
      </c>
      <c r="AY3" s="50">
        <v>3.3402799999999999</v>
      </c>
      <c r="AZ3" s="50">
        <v>3.3402799999999999</v>
      </c>
      <c r="BA3" s="50">
        <v>3.3402799999999999</v>
      </c>
      <c r="BB3" s="50">
        <v>3.3402799999999999</v>
      </c>
      <c r="BC3" s="50">
        <v>3.3402799999999999</v>
      </c>
      <c r="BD3" s="50">
        <v>3.3402799999999999</v>
      </c>
      <c r="BE3" s="50">
        <v>3.3402799999999999</v>
      </c>
      <c r="BF3" s="50">
        <v>3.3402799999999999</v>
      </c>
      <c r="BG3" s="50">
        <v>3.3402799999999999</v>
      </c>
      <c r="BH3" s="50">
        <v>3.3402799999999999</v>
      </c>
      <c r="BI3" s="50">
        <v>3.3402799999999999</v>
      </c>
      <c r="BJ3" t="e">
        <v>#N/A</v>
      </c>
      <c r="BK3" t="b">
        <v>1</v>
      </c>
    </row>
    <row r="4" spans="1:63" x14ac:dyDescent="0.3">
      <c r="A4" s="47" t="s">
        <v>270</v>
      </c>
      <c r="B4" s="51" t="s">
        <v>456</v>
      </c>
      <c r="C4" s="47" t="s">
        <v>269</v>
      </c>
      <c r="D4" s="47" t="s">
        <v>233</v>
      </c>
      <c r="E4" s="47" t="s">
        <v>323</v>
      </c>
      <c r="F4" s="47" t="s">
        <v>238</v>
      </c>
      <c r="G4" s="47" t="s">
        <v>99</v>
      </c>
      <c r="H4" s="47" t="s">
        <v>334</v>
      </c>
      <c r="I4" s="49" t="s">
        <v>622</v>
      </c>
      <c r="J4" s="50">
        <v>23.54842</v>
      </c>
      <c r="K4" s="50">
        <v>24.158110000000001</v>
      </c>
      <c r="L4" s="50">
        <v>24.00329</v>
      </c>
      <c r="M4" s="50">
        <v>23.874980000000001</v>
      </c>
      <c r="N4" s="50">
        <v>23.74596</v>
      </c>
      <c r="O4" s="50">
        <v>23.61225</v>
      </c>
      <c r="P4" s="50">
        <v>23.434989999999999</v>
      </c>
      <c r="Q4" s="50">
        <v>23.258990000000001</v>
      </c>
      <c r="R4" s="50">
        <v>23.066520000000001</v>
      </c>
      <c r="S4" s="50">
        <v>22.850359999999998</v>
      </c>
      <c r="T4" s="50">
        <v>22.601130000000001</v>
      </c>
      <c r="U4" s="50">
        <v>22.306439999999998</v>
      </c>
      <c r="V4" s="50">
        <v>21.95166</v>
      </c>
      <c r="W4" s="50">
        <v>21.519120000000001</v>
      </c>
      <c r="X4" s="50">
        <v>20.989070000000002</v>
      </c>
      <c r="Y4" s="50">
        <v>20.346630000000001</v>
      </c>
      <c r="Z4" s="50">
        <v>19.58952</v>
      </c>
      <c r="AA4" s="50">
        <v>18.72964</v>
      </c>
      <c r="AB4" s="50">
        <v>17.788779999999999</v>
      </c>
      <c r="AC4" s="50">
        <v>16.795719999999999</v>
      </c>
      <c r="AD4" s="50">
        <v>15.78491</v>
      </c>
      <c r="AE4" s="50">
        <v>14.792820000000001</v>
      </c>
      <c r="AF4" s="50">
        <v>13.853590000000001</v>
      </c>
      <c r="AG4" s="50">
        <v>12.993589999999999</v>
      </c>
      <c r="AH4" s="50">
        <v>12.230180000000001</v>
      </c>
      <c r="AI4" s="50">
        <v>11.57133</v>
      </c>
      <c r="AJ4" s="50">
        <v>11.01671</v>
      </c>
      <c r="AK4" s="50">
        <v>10.559469999999999</v>
      </c>
      <c r="AL4" s="50">
        <v>10.188330000000001</v>
      </c>
      <c r="AM4" s="50">
        <v>9.8898200000000003</v>
      </c>
      <c r="AN4" s="50">
        <v>9.6498799999999996</v>
      </c>
      <c r="AO4" s="50">
        <v>9.4550999999999998</v>
      </c>
      <c r="AP4" s="50">
        <v>9.2937200000000004</v>
      </c>
      <c r="AQ4" s="50">
        <v>9.1560299999999994</v>
      </c>
      <c r="AR4" s="50">
        <v>9.0343999999999998</v>
      </c>
      <c r="AS4" s="50">
        <v>8.9232099999999992</v>
      </c>
      <c r="AT4" s="50">
        <v>8.8186199999999992</v>
      </c>
      <c r="AU4" s="50">
        <v>8.7181599999999992</v>
      </c>
      <c r="AV4" s="50">
        <v>8.6202900000000007</v>
      </c>
      <c r="AW4" s="50">
        <v>8.5241500000000006</v>
      </c>
      <c r="AX4" s="50">
        <v>8.4292800000000003</v>
      </c>
      <c r="AY4" s="50">
        <v>8.3355499999999996</v>
      </c>
      <c r="AZ4" s="50">
        <v>8.2429299999999994</v>
      </c>
      <c r="BA4" s="50">
        <v>8.15137</v>
      </c>
      <c r="BB4" s="50">
        <v>8.0609500000000001</v>
      </c>
      <c r="BC4" s="50">
        <v>7.9717399999999996</v>
      </c>
      <c r="BD4" s="50">
        <v>7.8837599999999997</v>
      </c>
      <c r="BE4" s="50">
        <v>7.7970600000000001</v>
      </c>
      <c r="BF4" s="50">
        <v>7.7116100000000003</v>
      </c>
      <c r="BG4" s="50">
        <v>7.6274100000000002</v>
      </c>
      <c r="BH4" s="50">
        <v>7.5444300000000002</v>
      </c>
      <c r="BI4" s="50">
        <v>7.4624499999999996</v>
      </c>
      <c r="BJ4" t="s">
        <v>505</v>
      </c>
      <c r="BK4" t="b">
        <v>1</v>
      </c>
    </row>
    <row r="5" spans="1:63" x14ac:dyDescent="0.3">
      <c r="A5" s="47" t="s">
        <v>270</v>
      </c>
      <c r="B5" s="51" t="s">
        <v>456</v>
      </c>
      <c r="C5" s="47" t="s">
        <v>269</v>
      </c>
      <c r="D5" s="47" t="s">
        <v>233</v>
      </c>
      <c r="E5" s="47" t="s">
        <v>304</v>
      </c>
      <c r="F5" s="47" t="s">
        <v>236</v>
      </c>
      <c r="G5" s="47" t="s">
        <v>99</v>
      </c>
      <c r="H5" s="47" t="s">
        <v>333</v>
      </c>
      <c r="I5" s="49" t="s">
        <v>622</v>
      </c>
      <c r="J5" s="50">
        <v>11.43404</v>
      </c>
      <c r="K5" s="50">
        <v>11.49283</v>
      </c>
      <c r="L5" s="50">
        <v>11.499890000000001</v>
      </c>
      <c r="M5" s="50">
        <v>11.54846</v>
      </c>
      <c r="N5" s="50">
        <v>11.54021</v>
      </c>
      <c r="O5" s="50">
        <v>11.54129</v>
      </c>
      <c r="P5" s="50">
        <v>11.54815</v>
      </c>
      <c r="Q5" s="50">
        <v>11.548489999999999</v>
      </c>
      <c r="R5" s="50">
        <v>11.54848</v>
      </c>
      <c r="S5" s="50">
        <v>11.54954</v>
      </c>
      <c r="T5" s="50">
        <v>11.55082</v>
      </c>
      <c r="U5" s="50">
        <v>11.55067</v>
      </c>
      <c r="V5" s="50">
        <v>11.564489999999999</v>
      </c>
      <c r="W5" s="50">
        <v>11.57161</v>
      </c>
      <c r="X5" s="50">
        <v>11.57451</v>
      </c>
      <c r="Y5" s="50">
        <v>11.573510000000001</v>
      </c>
      <c r="Z5" s="50">
        <v>11.567220000000001</v>
      </c>
      <c r="AA5" s="50">
        <v>11.550509999999999</v>
      </c>
      <c r="AB5" s="50">
        <v>11.530239999999999</v>
      </c>
      <c r="AC5" s="50">
        <v>11.50576</v>
      </c>
      <c r="AD5" s="50">
        <v>11.477819999999999</v>
      </c>
      <c r="AE5" s="50">
        <v>11.445679999999999</v>
      </c>
      <c r="AF5" s="50">
        <v>11.41174</v>
      </c>
      <c r="AG5" s="50">
        <v>11.377520000000001</v>
      </c>
      <c r="AH5" s="50">
        <v>11.336980000000001</v>
      </c>
      <c r="AI5" s="50">
        <v>11.29355</v>
      </c>
      <c r="AJ5" s="50">
        <v>11.253970000000001</v>
      </c>
      <c r="AK5" s="50">
        <v>11.19814</v>
      </c>
      <c r="AL5" s="50">
        <v>11.13958</v>
      </c>
      <c r="AM5" s="50">
        <v>11.07856</v>
      </c>
      <c r="AN5" s="50">
        <v>11.01599</v>
      </c>
      <c r="AO5" s="50">
        <v>10.95011</v>
      </c>
      <c r="AP5" s="50">
        <v>10.863189999999999</v>
      </c>
      <c r="AQ5" s="50">
        <v>10.77684</v>
      </c>
      <c r="AR5" s="50">
        <v>10.69197</v>
      </c>
      <c r="AS5" s="50">
        <v>10.606949999999999</v>
      </c>
      <c r="AT5" s="50">
        <v>10.52402</v>
      </c>
      <c r="AU5" s="50">
        <v>10.4556</v>
      </c>
      <c r="AV5" s="50">
        <v>10.389620000000001</v>
      </c>
      <c r="AW5" s="50">
        <v>10.332280000000001</v>
      </c>
      <c r="AX5" s="50">
        <v>10.2715</v>
      </c>
      <c r="AY5" s="50">
        <v>10.21387</v>
      </c>
      <c r="AZ5" s="50">
        <v>10.20199</v>
      </c>
      <c r="BA5" s="50">
        <v>10.190910000000001</v>
      </c>
      <c r="BB5" s="50">
        <v>10.18092</v>
      </c>
      <c r="BC5" s="50">
        <v>10.1723</v>
      </c>
      <c r="BD5" s="50">
        <v>10.16536</v>
      </c>
      <c r="BE5" s="50">
        <v>10.160399999999999</v>
      </c>
      <c r="BF5" s="50">
        <v>10.157730000000001</v>
      </c>
      <c r="BG5" s="50">
        <v>10.1577</v>
      </c>
      <c r="BH5" s="50">
        <v>10.16065</v>
      </c>
      <c r="BI5" s="50">
        <v>10.16587</v>
      </c>
      <c r="BJ5" t="s">
        <v>506</v>
      </c>
      <c r="BK5" t="b">
        <v>1</v>
      </c>
    </row>
    <row r="6" spans="1:63" x14ac:dyDescent="0.3">
      <c r="A6" s="47" t="s">
        <v>270</v>
      </c>
      <c r="B6" s="51" t="s">
        <v>456</v>
      </c>
      <c r="C6" s="47" t="s">
        <v>269</v>
      </c>
      <c r="D6" s="47" t="s">
        <v>233</v>
      </c>
      <c r="E6" s="47" t="s">
        <v>304</v>
      </c>
      <c r="F6" s="47" t="s">
        <v>332</v>
      </c>
      <c r="G6" s="47" t="s">
        <v>99</v>
      </c>
      <c r="H6" s="47" t="s">
        <v>331</v>
      </c>
      <c r="I6" s="49" t="s">
        <v>622</v>
      </c>
      <c r="J6" s="50">
        <v>61.467460000000003</v>
      </c>
      <c r="K6" s="50">
        <v>60.49832</v>
      </c>
      <c r="L6" s="50">
        <v>59.462060000000001</v>
      </c>
      <c r="M6" s="50">
        <v>58.228639999999999</v>
      </c>
      <c r="N6" s="50">
        <v>57.272039999999997</v>
      </c>
      <c r="O6" s="50">
        <v>56.35774</v>
      </c>
      <c r="P6" s="50">
        <v>55.693860000000001</v>
      </c>
      <c r="Q6" s="50">
        <v>54.9437</v>
      </c>
      <c r="R6" s="50">
        <v>54.324330000000003</v>
      </c>
      <c r="S6" s="50">
        <v>53.579810000000002</v>
      </c>
      <c r="T6" s="50">
        <v>52.90193</v>
      </c>
      <c r="U6" s="50">
        <v>52.143140000000002</v>
      </c>
      <c r="V6" s="50">
        <v>51.396070000000002</v>
      </c>
      <c r="W6" s="50">
        <v>50.61336</v>
      </c>
      <c r="X6" s="50">
        <v>49.736069999999998</v>
      </c>
      <c r="Y6" s="50">
        <v>48.890560000000001</v>
      </c>
      <c r="Z6" s="50">
        <v>48.036740000000002</v>
      </c>
      <c r="AA6" s="50">
        <v>47.215899999999998</v>
      </c>
      <c r="AB6" s="50">
        <v>46.396590000000003</v>
      </c>
      <c r="AC6" s="50">
        <v>45.593539999999997</v>
      </c>
      <c r="AD6" s="50">
        <v>44.793100000000003</v>
      </c>
      <c r="AE6" s="50">
        <v>43.981360000000002</v>
      </c>
      <c r="AF6" s="50">
        <v>43.282809999999998</v>
      </c>
      <c r="AG6" s="50">
        <v>42.563800000000001</v>
      </c>
      <c r="AH6" s="50">
        <v>41.857999999999997</v>
      </c>
      <c r="AI6" s="50">
        <v>41.175449999999998</v>
      </c>
      <c r="AJ6" s="50">
        <v>40.474550000000001</v>
      </c>
      <c r="AK6" s="50">
        <v>39.855350000000001</v>
      </c>
      <c r="AL6" s="50">
        <v>39.259180000000001</v>
      </c>
      <c r="AM6" s="50">
        <v>38.659579999999998</v>
      </c>
      <c r="AN6" s="50">
        <v>38.083599999999997</v>
      </c>
      <c r="AO6" s="50">
        <v>37.51643</v>
      </c>
      <c r="AP6" s="50">
        <v>37.110880000000002</v>
      </c>
      <c r="AQ6" s="50">
        <v>36.733960000000003</v>
      </c>
      <c r="AR6" s="50">
        <v>36.3857</v>
      </c>
      <c r="AS6" s="50">
        <v>36.045439999999999</v>
      </c>
      <c r="AT6" s="50">
        <v>35.730980000000002</v>
      </c>
      <c r="AU6" s="50">
        <v>35.424120000000002</v>
      </c>
      <c r="AV6" s="50">
        <v>35.126930000000002</v>
      </c>
      <c r="AW6" s="50">
        <v>34.842889999999997</v>
      </c>
      <c r="AX6" s="50">
        <v>34.57394</v>
      </c>
      <c r="AY6" s="50">
        <v>34.311660000000003</v>
      </c>
      <c r="AZ6" s="50">
        <v>34.436999999999998</v>
      </c>
      <c r="BA6" s="50">
        <v>34.564349999999997</v>
      </c>
      <c r="BB6" s="50">
        <v>34.694710000000001</v>
      </c>
      <c r="BC6" s="50">
        <v>34.829149999999998</v>
      </c>
      <c r="BD6" s="50">
        <v>34.968780000000002</v>
      </c>
      <c r="BE6" s="50">
        <v>34.953510000000001</v>
      </c>
      <c r="BF6" s="50">
        <v>34.945889999999999</v>
      </c>
      <c r="BG6" s="50">
        <v>34.94708</v>
      </c>
      <c r="BH6" s="50">
        <v>34.958289999999998</v>
      </c>
      <c r="BI6" s="50">
        <v>34.977170000000001</v>
      </c>
      <c r="BJ6" t="s">
        <v>507</v>
      </c>
      <c r="BK6" t="b">
        <v>1</v>
      </c>
    </row>
    <row r="7" spans="1:63" x14ac:dyDescent="0.3">
      <c r="A7" s="47" t="s">
        <v>270</v>
      </c>
      <c r="B7" s="51" t="s">
        <v>456</v>
      </c>
      <c r="C7" s="47" t="s">
        <v>269</v>
      </c>
      <c r="D7" s="47" t="s">
        <v>233</v>
      </c>
      <c r="E7" s="47" t="s">
        <v>304</v>
      </c>
      <c r="F7" s="47" t="s">
        <v>330</v>
      </c>
      <c r="G7" s="47" t="s">
        <v>99</v>
      </c>
      <c r="H7" s="47" t="s">
        <v>329</v>
      </c>
      <c r="I7" s="49" t="s">
        <v>622</v>
      </c>
      <c r="J7" s="50">
        <v>12.317080000000001</v>
      </c>
      <c r="K7" s="50">
        <v>12.08928</v>
      </c>
      <c r="L7" s="50">
        <v>11.901910000000001</v>
      </c>
      <c r="M7" s="50">
        <v>11.71528</v>
      </c>
      <c r="N7" s="50">
        <v>11.489129999999999</v>
      </c>
      <c r="O7" s="50">
        <v>11.26854</v>
      </c>
      <c r="P7" s="50">
        <v>11.056749999999999</v>
      </c>
      <c r="Q7" s="50">
        <v>10.839090000000001</v>
      </c>
      <c r="R7" s="50">
        <v>10.625170000000001</v>
      </c>
      <c r="S7" s="50">
        <v>10.41785</v>
      </c>
      <c r="T7" s="50">
        <v>10.22151</v>
      </c>
      <c r="U7" s="50">
        <v>10.041499999999999</v>
      </c>
      <c r="V7" s="50">
        <v>9.9438200000000005</v>
      </c>
      <c r="W7" s="50">
        <v>9.8858999999999995</v>
      </c>
      <c r="X7" s="50">
        <v>9.8737700000000004</v>
      </c>
      <c r="Y7" s="50">
        <v>9.9075199999999999</v>
      </c>
      <c r="Z7" s="50">
        <v>9.9802</v>
      </c>
      <c r="AA7" s="50">
        <v>10.0807</v>
      </c>
      <c r="AB7" s="50">
        <v>10.201090000000001</v>
      </c>
      <c r="AC7" s="50">
        <v>10.33705</v>
      </c>
      <c r="AD7" s="50">
        <v>10.48493</v>
      </c>
      <c r="AE7" s="50">
        <v>10.64278</v>
      </c>
      <c r="AF7" s="50">
        <v>10.80621</v>
      </c>
      <c r="AG7" s="50">
        <v>10.97841</v>
      </c>
      <c r="AH7" s="50">
        <v>11.15873</v>
      </c>
      <c r="AI7" s="50">
        <v>11.34493</v>
      </c>
      <c r="AJ7" s="50">
        <v>11.53984</v>
      </c>
      <c r="AK7" s="50">
        <v>11.74112</v>
      </c>
      <c r="AL7" s="50">
        <v>11.758290000000001</v>
      </c>
      <c r="AM7" s="50">
        <v>11.78032</v>
      </c>
      <c r="AN7" s="50">
        <v>11.80378</v>
      </c>
      <c r="AO7" s="50">
        <v>11.8218</v>
      </c>
      <c r="AP7" s="50">
        <v>11.87645</v>
      </c>
      <c r="AQ7" s="50">
        <v>11.928890000000001</v>
      </c>
      <c r="AR7" s="50">
        <v>11.97892</v>
      </c>
      <c r="AS7" s="50">
        <v>12.026389999999999</v>
      </c>
      <c r="AT7" s="50">
        <v>12.071199999999999</v>
      </c>
      <c r="AU7" s="50">
        <v>12.18622</v>
      </c>
      <c r="AV7" s="50">
        <v>12.28619</v>
      </c>
      <c r="AW7" s="50">
        <v>12.35609</v>
      </c>
      <c r="AX7" s="50">
        <v>12.42094</v>
      </c>
      <c r="AY7" s="50">
        <v>12.48109</v>
      </c>
      <c r="AZ7" s="50">
        <v>12.46781</v>
      </c>
      <c r="BA7" s="50">
        <v>12.45538</v>
      </c>
      <c r="BB7" s="50">
        <v>12.44415</v>
      </c>
      <c r="BC7" s="50">
        <v>12.434469999999999</v>
      </c>
      <c r="BD7" s="50">
        <v>12.426729999999999</v>
      </c>
      <c r="BE7" s="50">
        <v>12.42131</v>
      </c>
      <c r="BF7" s="50">
        <v>12.4186</v>
      </c>
      <c r="BG7" s="50">
        <v>12.41902</v>
      </c>
      <c r="BH7" s="50">
        <v>12.423</v>
      </c>
      <c r="BI7" s="50">
        <v>12.42971</v>
      </c>
      <c r="BJ7" t="e">
        <v>#N/A</v>
      </c>
      <c r="BK7" t="b">
        <v>1</v>
      </c>
    </row>
    <row r="8" spans="1:63" ht="15" thickBot="1" x14ac:dyDescent="0.35">
      <c r="A8" s="47" t="s">
        <v>270</v>
      </c>
      <c r="B8" s="48" t="s">
        <v>429</v>
      </c>
      <c r="C8" s="47" t="s">
        <v>392</v>
      </c>
      <c r="D8" s="47" t="s">
        <v>233</v>
      </c>
      <c r="E8" s="52"/>
      <c r="F8" s="52" t="s">
        <v>201</v>
      </c>
      <c r="G8" s="47" t="s">
        <v>99</v>
      </c>
      <c r="H8" s="47" t="s">
        <v>328</v>
      </c>
      <c r="I8" s="49" t="s">
        <v>622</v>
      </c>
      <c r="J8" s="50">
        <v>159.87619000000001</v>
      </c>
      <c r="K8" s="50">
        <v>155.77842000000001</v>
      </c>
      <c r="L8" s="50">
        <v>155.13051999999999</v>
      </c>
      <c r="M8" s="50">
        <v>149.92202</v>
      </c>
      <c r="N8" s="50">
        <v>145.00247999999999</v>
      </c>
      <c r="O8" s="50">
        <v>142.36949999999999</v>
      </c>
      <c r="P8" s="50">
        <v>141.10337999999999</v>
      </c>
      <c r="Q8" s="50">
        <v>139.75158999999999</v>
      </c>
      <c r="R8" s="50">
        <v>138.53989000000001</v>
      </c>
      <c r="S8" s="50">
        <v>137.21699000000001</v>
      </c>
      <c r="T8" s="50">
        <v>135.97865999999999</v>
      </c>
      <c r="U8" s="50">
        <v>134.67883</v>
      </c>
      <c r="V8" s="50">
        <v>133.58001999999999</v>
      </c>
      <c r="W8" s="50">
        <v>132.46028999999999</v>
      </c>
      <c r="X8" s="50">
        <v>131.24214000000001</v>
      </c>
      <c r="Y8" s="50">
        <v>130.02658</v>
      </c>
      <c r="Z8" s="50">
        <v>128.75012000000001</v>
      </c>
      <c r="AA8" s="50">
        <v>127.42694</v>
      </c>
      <c r="AB8" s="50">
        <v>126.00742</v>
      </c>
      <c r="AC8" s="50">
        <v>124.48336999999999</v>
      </c>
      <c r="AD8" s="50">
        <v>122.83347999999999</v>
      </c>
      <c r="AE8" s="50">
        <v>121.05701999999999</v>
      </c>
      <c r="AF8" s="50">
        <v>119.32763</v>
      </c>
      <c r="AG8" s="50">
        <v>117.54692</v>
      </c>
      <c r="AH8" s="50">
        <v>115.79219000000001</v>
      </c>
      <c r="AI8" s="50">
        <v>114.12042</v>
      </c>
      <c r="AJ8" s="50">
        <v>112.11685</v>
      </c>
      <c r="AK8" s="50">
        <v>110.13867999999999</v>
      </c>
      <c r="AL8" s="50">
        <v>108.13343999999999</v>
      </c>
      <c r="AM8" s="50">
        <v>106.25700999999999</v>
      </c>
      <c r="AN8" s="50">
        <v>104.51430999999999</v>
      </c>
      <c r="AO8" s="50">
        <v>102.85942</v>
      </c>
      <c r="AP8" s="50">
        <v>101.75032</v>
      </c>
      <c r="AQ8" s="50">
        <v>100.75024999999999</v>
      </c>
      <c r="AR8" s="50">
        <v>99.85624</v>
      </c>
      <c r="AS8" s="50">
        <v>99.036140000000003</v>
      </c>
      <c r="AT8" s="50">
        <v>98.484179999999995</v>
      </c>
      <c r="AU8" s="50">
        <v>98.042180000000002</v>
      </c>
      <c r="AV8" s="50">
        <v>97.588629999999995</v>
      </c>
      <c r="AW8" s="50">
        <v>97.150459999999995</v>
      </c>
      <c r="AX8" s="50">
        <v>96.721059999999994</v>
      </c>
      <c r="AY8" s="50">
        <v>96.298770000000005</v>
      </c>
      <c r="AZ8" s="50">
        <v>96.238470000000007</v>
      </c>
      <c r="BA8" s="50">
        <v>96.184039999999996</v>
      </c>
      <c r="BB8" s="50">
        <v>96.137389999999996</v>
      </c>
      <c r="BC8" s="50">
        <v>96.100520000000003</v>
      </c>
      <c r="BD8" s="50">
        <v>96.075500000000005</v>
      </c>
      <c r="BE8" s="50">
        <v>95.903220000000005</v>
      </c>
      <c r="BF8" s="50">
        <v>95.747200000000007</v>
      </c>
      <c r="BG8" s="50">
        <v>95.609610000000004</v>
      </c>
      <c r="BH8" s="50">
        <v>95.49297</v>
      </c>
      <c r="BI8" s="50">
        <v>95.39246</v>
      </c>
    </row>
    <row r="9" spans="1:63" ht="15.6" thickTop="1" thickBot="1" x14ac:dyDescent="0.35">
      <c r="A9" s="53" t="s">
        <v>270</v>
      </c>
      <c r="B9" s="51" t="s">
        <v>456</v>
      </c>
      <c r="C9" s="53" t="s">
        <v>269</v>
      </c>
      <c r="D9" s="47" t="s">
        <v>233</v>
      </c>
      <c r="E9" s="54"/>
      <c r="F9" s="52" t="s">
        <v>197</v>
      </c>
      <c r="G9" s="53" t="s">
        <v>99</v>
      </c>
      <c r="H9" s="53"/>
      <c r="I9" s="53"/>
      <c r="J9" s="55">
        <f>J8-SUM(J2:J7)</f>
        <v>1.0000000003174137E-5</v>
      </c>
      <c r="K9" s="55">
        <f t="shared" ref="K9:BI9" si="1">K8-SUM(K2:K7)</f>
        <v>-1.0000000003174137E-5</v>
      </c>
      <c r="L9" s="55">
        <f t="shared" si="1"/>
        <v>-1.0000000031595846E-5</v>
      </c>
      <c r="M9" s="55">
        <f t="shared" si="1"/>
        <v>0</v>
      </c>
      <c r="N9" s="55">
        <f t="shared" si="1"/>
        <v>1.0000000003174137E-5</v>
      </c>
      <c r="O9" s="55">
        <f t="shared" si="1"/>
        <v>0</v>
      </c>
      <c r="P9" s="55">
        <f t="shared" si="1"/>
        <v>0</v>
      </c>
      <c r="Q9" s="55">
        <f t="shared" si="1"/>
        <v>1.0000000003174137E-5</v>
      </c>
      <c r="R9" s="55">
        <f t="shared" si="1"/>
        <v>0</v>
      </c>
      <c r="S9" s="55">
        <f t="shared" si="1"/>
        <v>-9.9999999747524271E-6</v>
      </c>
      <c r="T9" s="55">
        <f t="shared" si="1"/>
        <v>0</v>
      </c>
      <c r="U9" s="55">
        <f t="shared" si="1"/>
        <v>0</v>
      </c>
      <c r="V9" s="55">
        <f t="shared" si="1"/>
        <v>0</v>
      </c>
      <c r="W9" s="55">
        <f t="shared" si="1"/>
        <v>-1.0000000003174137E-5</v>
      </c>
      <c r="X9" s="55">
        <f t="shared" si="1"/>
        <v>0</v>
      </c>
      <c r="Y9" s="55">
        <f t="shared" si="1"/>
        <v>0</v>
      </c>
      <c r="Z9" s="55">
        <f t="shared" si="1"/>
        <v>-1.0000000003174137E-5</v>
      </c>
      <c r="AA9" s="55">
        <f t="shared" si="1"/>
        <v>-1.0000000003174137E-5</v>
      </c>
      <c r="AB9" s="55">
        <f t="shared" si="1"/>
        <v>-1.0000000003174137E-5</v>
      </c>
      <c r="AC9" s="55">
        <f t="shared" si="1"/>
        <v>9.9999999889632818E-6</v>
      </c>
      <c r="AD9" s="55">
        <f t="shared" si="1"/>
        <v>1.0000000003174137E-5</v>
      </c>
      <c r="AE9" s="55">
        <f t="shared" si="1"/>
        <v>-1.0000000017384991E-5</v>
      </c>
      <c r="AF9" s="55">
        <f t="shared" si="1"/>
        <v>-1.0000000003174137E-5</v>
      </c>
      <c r="AG9" s="55">
        <f t="shared" si="1"/>
        <v>0</v>
      </c>
      <c r="AH9" s="55">
        <f t="shared" si="1"/>
        <v>1.0000000017384991E-5</v>
      </c>
      <c r="AI9" s="55">
        <f t="shared" si="1"/>
        <v>1.0000000003174137E-5</v>
      </c>
      <c r="AJ9" s="55">
        <f t="shared" si="1"/>
        <v>0</v>
      </c>
      <c r="AK9" s="55">
        <f t="shared" si="1"/>
        <v>-1.0000000003174137E-5</v>
      </c>
      <c r="AL9" s="55">
        <f t="shared" si="1"/>
        <v>-1.0000000003174137E-5</v>
      </c>
      <c r="AM9" s="55">
        <f t="shared" si="1"/>
        <v>1.0000000003174137E-5</v>
      </c>
      <c r="AN9" s="55">
        <f t="shared" si="1"/>
        <v>0</v>
      </c>
      <c r="AO9" s="55">
        <f t="shared" si="1"/>
        <v>-6.0000100000000032</v>
      </c>
      <c r="AP9" s="55">
        <f t="shared" si="1"/>
        <v>9.9999999889632818E-6</v>
      </c>
      <c r="AQ9" s="55">
        <f t="shared" si="1"/>
        <v>0</v>
      </c>
      <c r="AR9" s="55">
        <f t="shared" si="1"/>
        <v>-1.0000000003174137E-5</v>
      </c>
      <c r="AS9" s="55">
        <f t="shared" si="1"/>
        <v>-9.9999999889632818E-6</v>
      </c>
      <c r="AT9" s="55">
        <f t="shared" si="1"/>
        <v>0</v>
      </c>
      <c r="AU9" s="55">
        <f t="shared" si="1"/>
        <v>-1.0000000003174137E-5</v>
      </c>
      <c r="AV9" s="55">
        <f t="shared" si="1"/>
        <v>0</v>
      </c>
      <c r="AW9" s="55">
        <f t="shared" si="1"/>
        <v>-1.0000000003174137E-5</v>
      </c>
      <c r="AX9" s="55">
        <f t="shared" si="1"/>
        <v>-1.0000000003174137E-5</v>
      </c>
      <c r="AY9" s="55">
        <f t="shared" si="1"/>
        <v>0</v>
      </c>
      <c r="AZ9" s="55">
        <f t="shared" si="1"/>
        <v>-1.9999999992137418E-5</v>
      </c>
      <c r="BA9" s="55">
        <f t="shared" si="1"/>
        <v>-1.0000000003174137E-5</v>
      </c>
      <c r="BB9" s="55">
        <f t="shared" si="1"/>
        <v>0</v>
      </c>
      <c r="BC9" s="55">
        <f t="shared" si="1"/>
        <v>0</v>
      </c>
      <c r="BD9" s="55">
        <f t="shared" si="1"/>
        <v>0</v>
      </c>
      <c r="BE9" s="55">
        <f t="shared" si="1"/>
        <v>-2.0000000006348273E-5</v>
      </c>
      <c r="BF9" s="55">
        <f t="shared" si="1"/>
        <v>1.0000000017384991E-5</v>
      </c>
      <c r="BG9" s="55">
        <f t="shared" si="1"/>
        <v>0</v>
      </c>
      <c r="BH9" s="55">
        <f t="shared" si="1"/>
        <v>-9.9999999889632818E-6</v>
      </c>
      <c r="BI9" s="55">
        <f t="shared" si="1"/>
        <v>1.0000000003174137E-5</v>
      </c>
    </row>
    <row r="10" spans="1:63" ht="15" thickTop="1" x14ac:dyDescent="0.3">
      <c r="A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</row>
    <row r="11" spans="1:63" x14ac:dyDescent="0.3">
      <c r="A11" s="57" t="s">
        <v>270</v>
      </c>
      <c r="B11" s="48" t="s">
        <v>429</v>
      </c>
      <c r="C11" s="57" t="s">
        <v>395</v>
      </c>
      <c r="D11" s="57" t="s">
        <v>224</v>
      </c>
      <c r="E11" s="57" t="s">
        <v>232</v>
      </c>
      <c r="F11" s="57" t="s">
        <v>231</v>
      </c>
      <c r="G11" s="57" t="s">
        <v>99</v>
      </c>
      <c r="H11" s="57" t="s">
        <v>327</v>
      </c>
      <c r="I11" s="49" t="s">
        <v>622</v>
      </c>
      <c r="J11" s="50">
        <v>23.74654</v>
      </c>
      <c r="K11" s="58">
        <v>23.493690000000001</v>
      </c>
      <c r="L11" s="58">
        <v>23.576139999999999</v>
      </c>
      <c r="M11" s="58">
        <v>22.11833</v>
      </c>
      <c r="N11" s="58">
        <v>20.9132</v>
      </c>
      <c r="O11" s="58">
        <v>20.8733</v>
      </c>
      <c r="P11" s="58">
        <v>20.836069999999999</v>
      </c>
      <c r="Q11" s="58">
        <v>20.803560000000001</v>
      </c>
      <c r="R11" s="58">
        <v>20.77722</v>
      </c>
      <c r="S11" s="58">
        <v>20.75703</v>
      </c>
      <c r="T11" s="58">
        <v>20.739909999999998</v>
      </c>
      <c r="U11" s="58">
        <v>20.717300000000002</v>
      </c>
      <c r="V11" s="58">
        <v>20.667159999999999</v>
      </c>
      <c r="W11" s="58">
        <v>20.578119999999998</v>
      </c>
      <c r="X11" s="58">
        <v>20.43439</v>
      </c>
      <c r="Y11" s="58">
        <v>20.230170000000001</v>
      </c>
      <c r="Z11" s="58">
        <v>19.970130000000001</v>
      </c>
      <c r="AA11" s="58">
        <v>19.663499999999999</v>
      </c>
      <c r="AB11" s="58">
        <v>19.310659999999999</v>
      </c>
      <c r="AC11" s="58">
        <v>18.868379999999998</v>
      </c>
      <c r="AD11" s="58">
        <v>18.396529999999998</v>
      </c>
      <c r="AE11" s="58">
        <v>17.893969999999999</v>
      </c>
      <c r="AF11" s="58">
        <v>17.359490000000001</v>
      </c>
      <c r="AG11" s="58">
        <v>16.792369999999998</v>
      </c>
      <c r="AH11" s="58">
        <v>16.192920000000001</v>
      </c>
      <c r="AI11" s="58">
        <v>15.56331</v>
      </c>
      <c r="AJ11" s="58">
        <v>14.907830000000001</v>
      </c>
      <c r="AK11" s="58">
        <v>14.23456</v>
      </c>
      <c r="AL11" s="58">
        <v>13.554449999999999</v>
      </c>
      <c r="AM11" s="58">
        <v>12.880050000000001</v>
      </c>
      <c r="AN11" s="58">
        <v>12.22418</v>
      </c>
      <c r="AO11" s="58">
        <v>11.59836</v>
      </c>
      <c r="AP11" s="58">
        <v>11.01158</v>
      </c>
      <c r="AQ11" s="58">
        <v>10.46973</v>
      </c>
      <c r="AR11" s="58">
        <v>9.9756199999999993</v>
      </c>
      <c r="AS11" s="58">
        <v>9.5293700000000001</v>
      </c>
      <c r="AT11" s="58">
        <v>9.1290499999999994</v>
      </c>
      <c r="AU11" s="58">
        <v>8.7713000000000001</v>
      </c>
      <c r="AV11" s="58">
        <v>8.4518699999999995</v>
      </c>
      <c r="AW11" s="58">
        <v>8.1660299999999992</v>
      </c>
      <c r="AX11" s="58">
        <v>7.9089799999999997</v>
      </c>
      <c r="AY11" s="58">
        <v>7.6760799999999998</v>
      </c>
      <c r="AZ11" s="58">
        <v>7.4630900000000002</v>
      </c>
      <c r="BA11" s="58">
        <v>7.2662500000000003</v>
      </c>
      <c r="BB11" s="58">
        <v>7.0823700000000001</v>
      </c>
      <c r="BC11" s="58">
        <v>6.90883</v>
      </c>
      <c r="BD11" s="58">
        <v>6.7426399999999997</v>
      </c>
      <c r="BE11" s="58">
        <v>6.57972</v>
      </c>
      <c r="BF11" s="58">
        <v>6.4220800000000002</v>
      </c>
      <c r="BG11" s="58">
        <v>6.2747200000000003</v>
      </c>
      <c r="BH11" s="58">
        <v>6.1561300000000001</v>
      </c>
      <c r="BI11" s="50">
        <v>6.0351999999999997</v>
      </c>
      <c r="BJ11" t="e">
        <v>#N/A</v>
      </c>
      <c r="BK11" t="b">
        <v>1</v>
      </c>
    </row>
    <row r="12" spans="1:63" x14ac:dyDescent="0.3">
      <c r="A12" s="47" t="s">
        <v>270</v>
      </c>
      <c r="B12" s="48" t="s">
        <v>429</v>
      </c>
      <c r="C12" s="57" t="s">
        <v>396</v>
      </c>
      <c r="D12" s="47" t="s">
        <v>224</v>
      </c>
      <c r="E12" s="47" t="s">
        <v>326</v>
      </c>
      <c r="F12" s="47" t="s">
        <v>325</v>
      </c>
      <c r="G12" s="47" t="s">
        <v>99</v>
      </c>
      <c r="H12" s="47" t="s">
        <v>324</v>
      </c>
      <c r="I12" s="49" t="s">
        <v>622</v>
      </c>
      <c r="J12" s="50">
        <v>13.515700000000001</v>
      </c>
      <c r="K12" s="50">
        <v>13.4038</v>
      </c>
      <c r="L12" s="50">
        <v>15.466570000000001</v>
      </c>
      <c r="M12" s="50">
        <v>15.52641</v>
      </c>
      <c r="N12" s="50">
        <v>15.584759999999999</v>
      </c>
      <c r="O12" s="50">
        <v>15.638949999999999</v>
      </c>
      <c r="P12" s="50">
        <v>15.687989999999999</v>
      </c>
      <c r="Q12" s="50">
        <v>15.731999999999999</v>
      </c>
      <c r="R12" s="50">
        <v>15.771050000000001</v>
      </c>
      <c r="S12" s="50">
        <v>15.805260000000001</v>
      </c>
      <c r="T12" s="50">
        <v>15.8348</v>
      </c>
      <c r="U12" s="50">
        <v>15.85965</v>
      </c>
      <c r="V12" s="50">
        <v>15.87989</v>
      </c>
      <c r="W12" s="50">
        <v>15.895630000000001</v>
      </c>
      <c r="X12" s="50">
        <v>15.90682</v>
      </c>
      <c r="Y12" s="50">
        <v>15.91348</v>
      </c>
      <c r="Z12" s="50">
        <v>15.9156</v>
      </c>
      <c r="AA12" s="50">
        <v>15.91325</v>
      </c>
      <c r="AB12" s="50">
        <v>15.90645</v>
      </c>
      <c r="AC12" s="50">
        <v>15.895250000000001</v>
      </c>
      <c r="AD12" s="50">
        <v>15.879720000000001</v>
      </c>
      <c r="AE12" s="50">
        <v>15.859920000000001</v>
      </c>
      <c r="AF12" s="50">
        <v>15.836</v>
      </c>
      <c r="AG12" s="50">
        <v>15.80805</v>
      </c>
      <c r="AH12" s="50">
        <v>15.77617</v>
      </c>
      <c r="AI12" s="50">
        <v>15.74047</v>
      </c>
      <c r="AJ12" s="50">
        <v>15.701129999999999</v>
      </c>
      <c r="AK12" s="50">
        <v>15.65821</v>
      </c>
      <c r="AL12" s="50">
        <v>15.611700000000001</v>
      </c>
      <c r="AM12" s="50">
        <v>15.5617</v>
      </c>
      <c r="AN12" s="50">
        <v>15.5083</v>
      </c>
      <c r="AO12" s="50">
        <v>15.451510000000001</v>
      </c>
      <c r="AP12" s="50">
        <v>15.584630000000001</v>
      </c>
      <c r="AQ12" s="50">
        <v>15.714980000000001</v>
      </c>
      <c r="AR12" s="50">
        <v>15.84244</v>
      </c>
      <c r="AS12" s="50">
        <v>15.96692</v>
      </c>
      <c r="AT12" s="50">
        <v>16.08841</v>
      </c>
      <c r="AU12" s="50">
        <v>16.206910000000001</v>
      </c>
      <c r="AV12" s="50">
        <v>16.322469999999999</v>
      </c>
      <c r="AW12" s="50">
        <v>16.435099999999998</v>
      </c>
      <c r="AX12" s="50">
        <v>16.544840000000001</v>
      </c>
      <c r="AY12" s="50">
        <v>16.651789999999998</v>
      </c>
      <c r="AZ12" s="50">
        <v>16.756049999999998</v>
      </c>
      <c r="BA12" s="50">
        <v>16.857579999999999</v>
      </c>
      <c r="BB12" s="50">
        <v>16.956469999999999</v>
      </c>
      <c r="BC12" s="50">
        <v>17.052779999999998</v>
      </c>
      <c r="BD12" s="50">
        <v>17.146509999999999</v>
      </c>
      <c r="BE12" s="50">
        <v>17.237690000000001</v>
      </c>
      <c r="BF12" s="50">
        <v>17.32629</v>
      </c>
      <c r="BG12" s="50">
        <v>17.412269999999999</v>
      </c>
      <c r="BH12" s="50">
        <v>17.495609999999999</v>
      </c>
      <c r="BI12" s="50">
        <v>17.575469999999999</v>
      </c>
      <c r="BJ12" t="e">
        <v>#N/A</v>
      </c>
      <c r="BK12" t="b">
        <v>1</v>
      </c>
    </row>
    <row r="13" spans="1:63" x14ac:dyDescent="0.3">
      <c r="A13" s="47" t="s">
        <v>270</v>
      </c>
      <c r="B13" s="51" t="s">
        <v>456</v>
      </c>
      <c r="C13" s="57" t="s">
        <v>269</v>
      </c>
      <c r="D13" s="47" t="s">
        <v>224</v>
      </c>
      <c r="E13" s="47" t="s">
        <v>323</v>
      </c>
      <c r="F13" s="47" t="s">
        <v>229</v>
      </c>
      <c r="G13" s="47" t="s">
        <v>99</v>
      </c>
      <c r="H13" s="47" t="s">
        <v>322</v>
      </c>
      <c r="I13" s="49" t="s">
        <v>622</v>
      </c>
      <c r="J13" s="50">
        <v>9.2604199999999999</v>
      </c>
      <c r="K13" s="50">
        <v>8.8510000000000009</v>
      </c>
      <c r="L13" s="50">
        <v>8.79514</v>
      </c>
      <c r="M13" s="50">
        <v>8.8022399999999994</v>
      </c>
      <c r="N13" s="50">
        <v>8.7427700000000002</v>
      </c>
      <c r="O13" s="50">
        <v>8.6815800000000003</v>
      </c>
      <c r="P13" s="50">
        <v>8.6168999999999993</v>
      </c>
      <c r="Q13" s="50">
        <v>8.5471599999999999</v>
      </c>
      <c r="R13" s="50">
        <v>8.4698799999999999</v>
      </c>
      <c r="S13" s="50">
        <v>8.3814899999999994</v>
      </c>
      <c r="T13" s="50">
        <v>8.2772900000000007</v>
      </c>
      <c r="U13" s="50">
        <v>8.1514199999999999</v>
      </c>
      <c r="V13" s="50">
        <v>7.9975399999999999</v>
      </c>
      <c r="W13" s="50">
        <v>7.8098299999999998</v>
      </c>
      <c r="X13" s="50">
        <v>7.58432</v>
      </c>
      <c r="Y13" s="50">
        <v>7.3204900000000004</v>
      </c>
      <c r="Z13" s="50">
        <v>7.0223000000000004</v>
      </c>
      <c r="AA13" s="50">
        <v>6.6983600000000001</v>
      </c>
      <c r="AB13" s="50">
        <v>6.3607100000000001</v>
      </c>
      <c r="AC13" s="50">
        <v>6.0228299999999999</v>
      </c>
      <c r="AD13" s="50">
        <v>5.6973900000000004</v>
      </c>
      <c r="AE13" s="50">
        <v>5.3945499999999997</v>
      </c>
      <c r="AF13" s="50">
        <v>5.1210899999999997</v>
      </c>
      <c r="AG13" s="50">
        <v>4.88035</v>
      </c>
      <c r="AH13" s="50">
        <v>4.67279</v>
      </c>
      <c r="AI13" s="50">
        <v>4.4967499999999996</v>
      </c>
      <c r="AJ13" s="50">
        <v>4.3492499999999996</v>
      </c>
      <c r="AK13" s="50">
        <v>4.2264900000000001</v>
      </c>
      <c r="AL13" s="50">
        <v>4.1244199999999998</v>
      </c>
      <c r="AM13" s="50">
        <v>4.0390899999999998</v>
      </c>
      <c r="AN13" s="50">
        <v>3.9668299999999999</v>
      </c>
      <c r="AO13" s="50">
        <v>3.9044099999999999</v>
      </c>
      <c r="AP13" s="50">
        <v>3.8491</v>
      </c>
      <c r="AQ13" s="50">
        <v>3.7987700000000002</v>
      </c>
      <c r="AR13" s="50">
        <v>3.7517399999999999</v>
      </c>
      <c r="AS13" s="50">
        <v>3.7068099999999999</v>
      </c>
      <c r="AT13" s="50">
        <v>3.6631800000000001</v>
      </c>
      <c r="AU13" s="50">
        <v>3.62032</v>
      </c>
      <c r="AV13" s="50">
        <v>3.5779200000000002</v>
      </c>
      <c r="AW13" s="50">
        <v>3.5358100000000001</v>
      </c>
      <c r="AX13" s="50">
        <v>3.4938899999999999</v>
      </c>
      <c r="AY13" s="50">
        <v>3.4521600000000001</v>
      </c>
      <c r="AZ13" s="50">
        <v>3.4106100000000001</v>
      </c>
      <c r="BA13" s="50">
        <v>3.3692500000000001</v>
      </c>
      <c r="BB13" s="50">
        <v>3.32809</v>
      </c>
      <c r="BC13" s="50">
        <v>3.2871600000000001</v>
      </c>
      <c r="BD13" s="50">
        <v>3.24648</v>
      </c>
      <c r="BE13" s="50">
        <v>3.2060499999999998</v>
      </c>
      <c r="BF13" s="50">
        <v>3.16588</v>
      </c>
      <c r="BG13" s="50">
        <v>3.1259800000000002</v>
      </c>
      <c r="BH13" s="50">
        <v>3.0863399999999999</v>
      </c>
      <c r="BI13" s="50">
        <v>3.0468199999999999</v>
      </c>
      <c r="BJ13" t="e">
        <v>#N/A</v>
      </c>
      <c r="BK13" t="b">
        <v>1</v>
      </c>
    </row>
    <row r="14" spans="1:63" x14ac:dyDescent="0.3">
      <c r="A14" s="47" t="s">
        <v>270</v>
      </c>
      <c r="B14" s="51" t="s">
        <v>456</v>
      </c>
      <c r="C14" s="57" t="s">
        <v>269</v>
      </c>
      <c r="D14" s="47" t="s">
        <v>224</v>
      </c>
      <c r="E14" s="47" t="s">
        <v>304</v>
      </c>
      <c r="F14" s="47" t="s">
        <v>227</v>
      </c>
      <c r="G14" s="47" t="s">
        <v>99</v>
      </c>
      <c r="H14" s="47" t="s">
        <v>321</v>
      </c>
      <c r="I14" s="49" t="s">
        <v>622</v>
      </c>
      <c r="J14" s="50">
        <v>5.3257000000000003</v>
      </c>
      <c r="K14" s="50">
        <v>5.4471999999999996</v>
      </c>
      <c r="L14" s="50">
        <v>5.5663200000000002</v>
      </c>
      <c r="M14" s="50">
        <v>5.6936600000000004</v>
      </c>
      <c r="N14" s="50">
        <v>5.81351</v>
      </c>
      <c r="O14" s="50">
        <v>5.9237799999999998</v>
      </c>
      <c r="P14" s="50">
        <v>6.0052700000000003</v>
      </c>
      <c r="Q14" s="50">
        <v>6.0849900000000003</v>
      </c>
      <c r="R14" s="50">
        <v>6.1461899999999998</v>
      </c>
      <c r="S14" s="50">
        <v>6.1972100000000001</v>
      </c>
      <c r="T14" s="50">
        <v>6.2464599999999999</v>
      </c>
      <c r="U14" s="50">
        <v>6.2771999999999997</v>
      </c>
      <c r="V14" s="50">
        <v>6.2436299999999996</v>
      </c>
      <c r="W14" s="50">
        <v>6.2001600000000003</v>
      </c>
      <c r="X14" s="50">
        <v>6.1470399999999996</v>
      </c>
      <c r="Y14" s="50">
        <v>6.09246</v>
      </c>
      <c r="Z14" s="50">
        <v>6.0285900000000003</v>
      </c>
      <c r="AA14" s="50">
        <v>5.96347</v>
      </c>
      <c r="AB14" s="50">
        <v>5.8971</v>
      </c>
      <c r="AC14" s="50">
        <v>5.8220099999999997</v>
      </c>
      <c r="AD14" s="50">
        <v>5.74594</v>
      </c>
      <c r="AE14" s="50">
        <v>5.66892</v>
      </c>
      <c r="AF14" s="50">
        <v>5.5838799999999997</v>
      </c>
      <c r="AG14" s="50">
        <v>5.4982600000000001</v>
      </c>
      <c r="AH14" s="50">
        <v>5.4190300000000002</v>
      </c>
      <c r="AI14" s="50">
        <v>5.3322799999999999</v>
      </c>
      <c r="AJ14" s="50">
        <v>5.2451699999999999</v>
      </c>
      <c r="AK14" s="50">
        <v>5.1577099999999998</v>
      </c>
      <c r="AL14" s="50">
        <v>5.0698699999999999</v>
      </c>
      <c r="AM14" s="50">
        <v>4.9817200000000001</v>
      </c>
      <c r="AN14" s="50">
        <v>4.8932900000000004</v>
      </c>
      <c r="AO14" s="50">
        <v>4.8045600000000004</v>
      </c>
      <c r="AP14" s="50">
        <v>4.8012899999999998</v>
      </c>
      <c r="AQ14" s="50">
        <v>4.7976299999999998</v>
      </c>
      <c r="AR14" s="50">
        <v>4.7935600000000003</v>
      </c>
      <c r="AS14" s="50">
        <v>4.7890600000000001</v>
      </c>
      <c r="AT14" s="50">
        <v>4.7841699999999996</v>
      </c>
      <c r="AU14" s="50">
        <v>4.7789299999999999</v>
      </c>
      <c r="AV14" s="50">
        <v>4.7734199999999998</v>
      </c>
      <c r="AW14" s="50">
        <v>4.7676699999999999</v>
      </c>
      <c r="AX14" s="50">
        <v>4.7617500000000001</v>
      </c>
      <c r="AY14" s="50">
        <v>4.7557499999999999</v>
      </c>
      <c r="AZ14" s="50">
        <v>4.7497600000000002</v>
      </c>
      <c r="BA14" s="50">
        <v>4.7437800000000001</v>
      </c>
      <c r="BB14" s="50">
        <v>4.7378999999999998</v>
      </c>
      <c r="BC14" s="50">
        <v>4.7321600000000004</v>
      </c>
      <c r="BD14" s="50">
        <v>4.72661</v>
      </c>
      <c r="BE14" s="50">
        <v>4.7212800000000001</v>
      </c>
      <c r="BF14" s="50">
        <v>4.7161799999999996</v>
      </c>
      <c r="BG14" s="50">
        <v>4.7113100000000001</v>
      </c>
      <c r="BH14" s="50">
        <v>4.7066800000000004</v>
      </c>
      <c r="BI14" s="50">
        <v>4.7021699999999997</v>
      </c>
      <c r="BJ14" t="e">
        <v>#N/A</v>
      </c>
      <c r="BK14" t="b">
        <v>1</v>
      </c>
    </row>
    <row r="15" spans="1:63" x14ac:dyDescent="0.3">
      <c r="A15" s="47" t="s">
        <v>270</v>
      </c>
      <c r="B15" s="51" t="s">
        <v>456</v>
      </c>
      <c r="C15" s="57" t="s">
        <v>269</v>
      </c>
      <c r="D15" s="47" t="s">
        <v>224</v>
      </c>
      <c r="E15" s="47" t="s">
        <v>285</v>
      </c>
      <c r="F15" s="47" t="s">
        <v>320</v>
      </c>
      <c r="G15" s="47" t="s">
        <v>99</v>
      </c>
      <c r="H15" s="47" t="s">
        <v>319</v>
      </c>
      <c r="I15" s="49" t="s">
        <v>622</v>
      </c>
      <c r="J15" s="50">
        <v>14.55733</v>
      </c>
      <c r="K15" s="50">
        <v>14.055680000000001</v>
      </c>
      <c r="L15" s="50">
        <v>13.06644</v>
      </c>
      <c r="M15" s="50">
        <v>12.24169</v>
      </c>
      <c r="N15" s="50">
        <v>11.44946</v>
      </c>
      <c r="O15" s="50">
        <v>10.74544</v>
      </c>
      <c r="P15" s="50">
        <v>10.114890000000001</v>
      </c>
      <c r="Q15" s="50">
        <v>9.5466800000000003</v>
      </c>
      <c r="R15" s="50">
        <v>9.0318299999999994</v>
      </c>
      <c r="S15" s="50">
        <v>8.5630199999999999</v>
      </c>
      <c r="T15" s="50">
        <v>8.1342700000000008</v>
      </c>
      <c r="U15" s="50">
        <v>7.7405200000000001</v>
      </c>
      <c r="V15" s="50">
        <v>7.3384299999999998</v>
      </c>
      <c r="W15" s="50">
        <v>6.9706200000000003</v>
      </c>
      <c r="X15" s="50">
        <v>6.6327800000000003</v>
      </c>
      <c r="Y15" s="50">
        <v>6.3212900000000003</v>
      </c>
      <c r="Z15" s="50">
        <v>6.0330899999999996</v>
      </c>
      <c r="AA15" s="50">
        <v>5.7656000000000001</v>
      </c>
      <c r="AB15" s="50">
        <v>5.51661</v>
      </c>
      <c r="AC15" s="50">
        <v>5.2842000000000002</v>
      </c>
      <c r="AD15" s="50">
        <v>5.0667400000000002</v>
      </c>
      <c r="AE15" s="50">
        <v>4.8628</v>
      </c>
      <c r="AF15" s="50">
        <v>4.8214699999999997</v>
      </c>
      <c r="AG15" s="50">
        <v>4.7796599999999998</v>
      </c>
      <c r="AH15" s="50">
        <v>4.7374099999999997</v>
      </c>
      <c r="AI15" s="50">
        <v>4.6988700000000003</v>
      </c>
      <c r="AJ15" s="50">
        <v>4.6814999999999998</v>
      </c>
      <c r="AK15" s="50">
        <v>4.66343</v>
      </c>
      <c r="AL15" s="50">
        <v>4.6446300000000003</v>
      </c>
      <c r="AM15" s="50">
        <v>4.6251300000000004</v>
      </c>
      <c r="AN15" s="50">
        <v>4.60494</v>
      </c>
      <c r="AO15" s="50">
        <v>4.5683999999999996</v>
      </c>
      <c r="AP15" s="50">
        <v>4.5543399999999998</v>
      </c>
      <c r="AQ15" s="50">
        <v>4.5306600000000001</v>
      </c>
      <c r="AR15" s="50">
        <v>4.50631</v>
      </c>
      <c r="AS15" s="50">
        <v>4.4812900000000004</v>
      </c>
      <c r="AT15" s="50">
        <v>4.4556199999999997</v>
      </c>
      <c r="AU15" s="50">
        <v>4.4293199999999997</v>
      </c>
      <c r="AV15" s="50">
        <v>4.4024400000000004</v>
      </c>
      <c r="AW15" s="50">
        <v>4.3749900000000004</v>
      </c>
      <c r="AX15" s="50">
        <v>4.3470199999999997</v>
      </c>
      <c r="AY15" s="50">
        <v>4.3185700000000002</v>
      </c>
      <c r="AZ15" s="50">
        <v>4.3064</v>
      </c>
      <c r="BA15" s="50">
        <v>4.2937099999999999</v>
      </c>
      <c r="BB15" s="50">
        <v>4.2805099999999996</v>
      </c>
      <c r="BC15" s="50">
        <v>4.2668400000000002</v>
      </c>
      <c r="BD15" s="50">
        <v>4.2527200000000001</v>
      </c>
      <c r="BE15" s="50">
        <v>4.2381399999999996</v>
      </c>
      <c r="BF15" s="50">
        <v>4.2231199999999998</v>
      </c>
      <c r="BG15" s="50">
        <v>4.2076700000000002</v>
      </c>
      <c r="BH15" s="50">
        <v>4.19177</v>
      </c>
      <c r="BI15" s="50">
        <v>4.1752599999999997</v>
      </c>
      <c r="BJ15" t="e">
        <v>#N/A</v>
      </c>
      <c r="BK15" t="b">
        <v>1</v>
      </c>
    </row>
    <row r="16" spans="1:63" x14ac:dyDescent="0.3">
      <c r="A16" s="47" t="s">
        <v>270</v>
      </c>
      <c r="B16" s="51" t="s">
        <v>456</v>
      </c>
      <c r="C16" s="57" t="s">
        <v>269</v>
      </c>
      <c r="D16" s="47" t="s">
        <v>224</v>
      </c>
      <c r="E16" s="47" t="s">
        <v>285</v>
      </c>
      <c r="F16" s="47" t="s">
        <v>318</v>
      </c>
      <c r="G16" s="47" t="s">
        <v>99</v>
      </c>
      <c r="H16" s="47" t="s">
        <v>317</v>
      </c>
      <c r="I16" s="49" t="s">
        <v>622</v>
      </c>
      <c r="J16" s="50">
        <v>8.5810499999999994</v>
      </c>
      <c r="K16" s="50">
        <v>8.3348800000000001</v>
      </c>
      <c r="L16" s="50">
        <v>8.0803999999999991</v>
      </c>
      <c r="M16" s="50">
        <v>7.8811</v>
      </c>
      <c r="N16" s="50">
        <v>7.6553899999999997</v>
      </c>
      <c r="O16" s="50">
        <v>7.4326499999999998</v>
      </c>
      <c r="P16" s="50">
        <v>7.2123699999999999</v>
      </c>
      <c r="Q16" s="50">
        <v>7.0365399999999996</v>
      </c>
      <c r="R16" s="50">
        <v>6.8651099999999996</v>
      </c>
      <c r="S16" s="50">
        <v>6.6980500000000003</v>
      </c>
      <c r="T16" s="50">
        <v>6.5353199999999996</v>
      </c>
      <c r="U16" s="50">
        <v>6.3768399999999996</v>
      </c>
      <c r="V16" s="50">
        <v>6.2225200000000003</v>
      </c>
      <c r="W16" s="50">
        <v>6.0723099999999999</v>
      </c>
      <c r="X16" s="50">
        <v>5.9260999999999999</v>
      </c>
      <c r="Y16" s="50">
        <v>5.7837800000000001</v>
      </c>
      <c r="Z16" s="50">
        <v>5.64527</v>
      </c>
      <c r="AA16" s="50">
        <v>5.5613999999999999</v>
      </c>
      <c r="AB16" s="50">
        <v>5.4777800000000001</v>
      </c>
      <c r="AC16" s="50">
        <v>5.3943000000000003</v>
      </c>
      <c r="AD16" s="50">
        <v>5.3109200000000003</v>
      </c>
      <c r="AE16" s="50">
        <v>5.1644300000000003</v>
      </c>
      <c r="AF16" s="50">
        <v>5.0614499999999998</v>
      </c>
      <c r="AG16" s="50">
        <v>4.9602399999999998</v>
      </c>
      <c r="AH16" s="50">
        <v>4.86076</v>
      </c>
      <c r="AI16" s="50">
        <v>4.7804700000000002</v>
      </c>
      <c r="AJ16" s="50">
        <v>4.7057599999999997</v>
      </c>
      <c r="AK16" s="50">
        <v>4.6311999999999998</v>
      </c>
      <c r="AL16" s="50">
        <v>4.5568</v>
      </c>
      <c r="AM16" s="50">
        <v>4.4825900000000001</v>
      </c>
      <c r="AN16" s="50">
        <v>4.4658300000000004</v>
      </c>
      <c r="AO16" s="50">
        <v>4.4404300000000001</v>
      </c>
      <c r="AP16" s="50">
        <v>4.4256500000000001</v>
      </c>
      <c r="AQ16" s="50">
        <v>4.4061399999999997</v>
      </c>
      <c r="AR16" s="50">
        <v>4.38605</v>
      </c>
      <c r="AS16" s="50">
        <v>4.36538</v>
      </c>
      <c r="AT16" s="50">
        <v>4.3441599999999996</v>
      </c>
      <c r="AU16" s="50">
        <v>4.3275399999999999</v>
      </c>
      <c r="AV16" s="50">
        <v>4.3144299999999998</v>
      </c>
      <c r="AW16" s="50">
        <v>4.3007</v>
      </c>
      <c r="AX16" s="50">
        <v>4.2863899999999999</v>
      </c>
      <c r="AY16" s="50">
        <v>4.2715399999999999</v>
      </c>
      <c r="AZ16" s="50">
        <v>4.2595000000000001</v>
      </c>
      <c r="BA16" s="50">
        <v>4.2469400000000004</v>
      </c>
      <c r="BB16" s="50">
        <v>4.2339000000000002</v>
      </c>
      <c r="BC16" s="50">
        <v>4.2203799999999996</v>
      </c>
      <c r="BD16" s="50">
        <v>4.2064000000000004</v>
      </c>
      <c r="BE16" s="50">
        <v>4.1919899999999997</v>
      </c>
      <c r="BF16" s="50">
        <v>4.17713</v>
      </c>
      <c r="BG16" s="50">
        <v>4.1618399999999998</v>
      </c>
      <c r="BH16" s="50">
        <v>4.1461199999999998</v>
      </c>
      <c r="BI16" s="50">
        <v>4.1297899999999998</v>
      </c>
      <c r="BJ16" t="e">
        <v>#N/A</v>
      </c>
      <c r="BK16" t="b">
        <v>1</v>
      </c>
    </row>
    <row r="17" spans="1:63" x14ac:dyDescent="0.3">
      <c r="A17" s="47" t="s">
        <v>270</v>
      </c>
      <c r="B17" s="51" t="s">
        <v>456</v>
      </c>
      <c r="C17" s="57" t="s">
        <v>269</v>
      </c>
      <c r="D17" s="47" t="s">
        <v>224</v>
      </c>
      <c r="E17" s="47" t="s">
        <v>285</v>
      </c>
      <c r="F17" s="47" t="s">
        <v>316</v>
      </c>
      <c r="G17" s="47" t="s">
        <v>99</v>
      </c>
      <c r="H17" s="47" t="s">
        <v>315</v>
      </c>
      <c r="I17" s="49" t="s">
        <v>622</v>
      </c>
      <c r="J17" s="50">
        <v>3.9133900000000001</v>
      </c>
      <c r="K17" s="50">
        <v>4.0035400000000001</v>
      </c>
      <c r="L17" s="50">
        <v>4.0443499999999997</v>
      </c>
      <c r="M17" s="50">
        <v>4.1033600000000003</v>
      </c>
      <c r="N17" s="50">
        <v>4.1609299999999996</v>
      </c>
      <c r="O17" s="50">
        <v>4.2164099999999998</v>
      </c>
      <c r="P17" s="50">
        <v>4.2695100000000004</v>
      </c>
      <c r="Q17" s="50">
        <v>4.2727500000000003</v>
      </c>
      <c r="R17" s="50">
        <v>4.2714299999999996</v>
      </c>
      <c r="S17" s="50">
        <v>4.2655500000000002</v>
      </c>
      <c r="T17" s="50">
        <v>4.2551199999999998</v>
      </c>
      <c r="U17" s="50">
        <v>4.2246899999999998</v>
      </c>
      <c r="V17" s="50">
        <v>4.1903600000000001</v>
      </c>
      <c r="W17" s="50">
        <v>4.1374300000000002</v>
      </c>
      <c r="X17" s="50">
        <v>4.0669300000000002</v>
      </c>
      <c r="Y17" s="50">
        <v>3.9799600000000002</v>
      </c>
      <c r="Z17" s="50">
        <v>3.8776199999999998</v>
      </c>
      <c r="AA17" s="50">
        <v>3.77433</v>
      </c>
      <c r="AB17" s="50">
        <v>3.7780900000000002</v>
      </c>
      <c r="AC17" s="50">
        <v>3.7811900000000001</v>
      </c>
      <c r="AD17" s="50">
        <v>3.78362</v>
      </c>
      <c r="AE17" s="50">
        <v>3.7854000000000001</v>
      </c>
      <c r="AF17" s="50">
        <v>3.78654</v>
      </c>
      <c r="AG17" s="50">
        <v>3.7870400000000002</v>
      </c>
      <c r="AH17" s="50">
        <v>3.7869199999999998</v>
      </c>
      <c r="AI17" s="50">
        <v>3.7861899999999999</v>
      </c>
      <c r="AJ17" s="50">
        <v>3.7848799999999998</v>
      </c>
      <c r="AK17" s="50">
        <v>3.7829700000000002</v>
      </c>
      <c r="AL17" s="50">
        <v>3.7804700000000002</v>
      </c>
      <c r="AM17" s="50">
        <v>3.77738</v>
      </c>
      <c r="AN17" s="50">
        <v>3.7737099999999999</v>
      </c>
      <c r="AO17" s="50">
        <v>3.76945</v>
      </c>
      <c r="AP17" s="50">
        <v>3.7645900000000001</v>
      </c>
      <c r="AQ17" s="50">
        <v>3.7591299999999999</v>
      </c>
      <c r="AR17" s="50">
        <v>3.7530700000000001</v>
      </c>
      <c r="AS17" s="50">
        <v>3.7464</v>
      </c>
      <c r="AT17" s="50">
        <v>3.7391299999999998</v>
      </c>
      <c r="AU17" s="50">
        <v>3.73129</v>
      </c>
      <c r="AV17" s="50">
        <v>3.72288</v>
      </c>
      <c r="AW17" s="50">
        <v>3.71394</v>
      </c>
      <c r="AX17" s="50">
        <v>3.7044800000000002</v>
      </c>
      <c r="AY17" s="50">
        <v>3.6945299999999999</v>
      </c>
      <c r="AZ17" s="50">
        <v>3.6841200000000001</v>
      </c>
      <c r="BA17" s="50">
        <v>3.67326</v>
      </c>
      <c r="BB17" s="50">
        <v>3.6619700000000002</v>
      </c>
      <c r="BC17" s="50">
        <v>3.65028</v>
      </c>
      <c r="BD17" s="50">
        <v>3.6381899999999998</v>
      </c>
      <c r="BE17" s="50">
        <v>3.6257199999999998</v>
      </c>
      <c r="BF17" s="50">
        <v>3.6128800000000001</v>
      </c>
      <c r="BG17" s="50">
        <v>3.59965</v>
      </c>
      <c r="BH17" s="50">
        <v>3.5860500000000002</v>
      </c>
      <c r="BI17" s="50">
        <v>3.57193</v>
      </c>
      <c r="BJ17" t="e">
        <v>#N/A</v>
      </c>
      <c r="BK17" t="b">
        <v>1</v>
      </c>
    </row>
    <row r="18" spans="1:63" x14ac:dyDescent="0.3">
      <c r="A18" s="47" t="s">
        <v>270</v>
      </c>
      <c r="B18" s="51" t="s">
        <v>456</v>
      </c>
      <c r="C18" s="57" t="s">
        <v>269</v>
      </c>
      <c r="D18" s="47" t="s">
        <v>224</v>
      </c>
      <c r="E18" s="47" t="s">
        <v>314</v>
      </c>
      <c r="F18" s="47" t="s">
        <v>313</v>
      </c>
      <c r="G18" s="47" t="s">
        <v>99</v>
      </c>
      <c r="H18" s="47" t="s">
        <v>312</v>
      </c>
      <c r="I18" s="49" t="s">
        <v>622</v>
      </c>
      <c r="J18" s="50">
        <v>4.4389599999999998</v>
      </c>
      <c r="K18" s="50">
        <v>4.2194000000000003</v>
      </c>
      <c r="L18" s="50">
        <v>4.0225499999999998</v>
      </c>
      <c r="M18" s="50">
        <v>3.8450700000000002</v>
      </c>
      <c r="N18" s="50">
        <v>3.6301199999999998</v>
      </c>
      <c r="O18" s="50">
        <v>3.43458</v>
      </c>
      <c r="P18" s="50">
        <v>3.2559499999999999</v>
      </c>
      <c r="Q18" s="50">
        <v>3.0921400000000001</v>
      </c>
      <c r="R18" s="50">
        <v>2.9414099999999999</v>
      </c>
      <c r="S18" s="50">
        <v>2.8022499999999999</v>
      </c>
      <c r="T18" s="50">
        <v>2.6734</v>
      </c>
      <c r="U18" s="50">
        <v>2.5537700000000001</v>
      </c>
      <c r="V18" s="50">
        <v>2.4424199999999998</v>
      </c>
      <c r="W18" s="50">
        <v>2.3385199999999999</v>
      </c>
      <c r="X18" s="50">
        <v>2.2413699999999999</v>
      </c>
      <c r="Y18" s="50">
        <v>2.1503299999999999</v>
      </c>
      <c r="Z18" s="50">
        <v>2.0648599999999999</v>
      </c>
      <c r="AA18" s="50">
        <v>2.0118100000000001</v>
      </c>
      <c r="AB18" s="50">
        <v>1.96051</v>
      </c>
      <c r="AC18" s="50">
        <v>1.9108799999999999</v>
      </c>
      <c r="AD18" s="50">
        <v>1.86283</v>
      </c>
      <c r="AE18" s="50">
        <v>1.8163100000000001</v>
      </c>
      <c r="AF18" s="50">
        <v>1.7712399999999999</v>
      </c>
      <c r="AG18" s="50">
        <v>1.72756</v>
      </c>
      <c r="AH18" s="50">
        <v>1.6852100000000001</v>
      </c>
      <c r="AI18" s="50">
        <v>1.6441399999999999</v>
      </c>
      <c r="AJ18" s="50">
        <v>1.60429</v>
      </c>
      <c r="AK18" s="50">
        <v>1.56562</v>
      </c>
      <c r="AL18" s="50">
        <v>1.52807</v>
      </c>
      <c r="AM18" s="50">
        <v>1.4916</v>
      </c>
      <c r="AN18" s="50">
        <v>1.45617</v>
      </c>
      <c r="AO18" s="50">
        <v>1.4129</v>
      </c>
      <c r="AP18" s="50">
        <v>1.3824799999999999</v>
      </c>
      <c r="AQ18" s="50">
        <v>1.3488100000000001</v>
      </c>
      <c r="AR18" s="50">
        <v>1.3160799999999999</v>
      </c>
      <c r="AS18" s="50">
        <v>1.28423</v>
      </c>
      <c r="AT18" s="50">
        <v>1.25325</v>
      </c>
      <c r="AU18" s="50">
        <v>1.2231000000000001</v>
      </c>
      <c r="AV18" s="50">
        <v>1.1937599999999999</v>
      </c>
      <c r="AW18" s="50">
        <v>1.1651800000000001</v>
      </c>
      <c r="AX18" s="50">
        <v>1.1373599999999999</v>
      </c>
      <c r="AY18" s="50">
        <v>1.11025</v>
      </c>
      <c r="AZ18" s="50">
        <v>1.11025</v>
      </c>
      <c r="BA18" s="50">
        <v>1.11025</v>
      </c>
      <c r="BB18" s="50">
        <v>1.11025</v>
      </c>
      <c r="BC18" s="50">
        <v>1.11025</v>
      </c>
      <c r="BD18" s="50">
        <v>1.11025</v>
      </c>
      <c r="BE18" s="50">
        <v>1.11025</v>
      </c>
      <c r="BF18" s="50">
        <v>1.11025</v>
      </c>
      <c r="BG18" s="50">
        <v>1.11025</v>
      </c>
      <c r="BH18" s="50">
        <v>1.11025</v>
      </c>
      <c r="BI18" s="50">
        <v>1.11025</v>
      </c>
      <c r="BJ18" t="e">
        <v>#N/A</v>
      </c>
      <c r="BK18" t="b">
        <v>1</v>
      </c>
    </row>
    <row r="19" spans="1:63" x14ac:dyDescent="0.3">
      <c r="A19" s="47" t="s">
        <v>270</v>
      </c>
      <c r="B19" s="51" t="s">
        <v>456</v>
      </c>
      <c r="C19" s="57" t="s">
        <v>269</v>
      </c>
      <c r="D19" s="47" t="s">
        <v>224</v>
      </c>
      <c r="E19" s="47" t="s">
        <v>304</v>
      </c>
      <c r="F19" s="47" t="s">
        <v>579</v>
      </c>
      <c r="G19" s="47" t="s">
        <v>99</v>
      </c>
      <c r="H19" s="47" t="s">
        <v>311</v>
      </c>
      <c r="I19" s="49" t="s">
        <v>622</v>
      </c>
      <c r="J19" s="50">
        <v>7.4</v>
      </c>
      <c r="K19" s="50">
        <v>7.5</v>
      </c>
      <c r="L19" s="50">
        <v>7.6</v>
      </c>
      <c r="M19" s="50">
        <v>7.8</v>
      </c>
      <c r="N19" s="50">
        <v>8</v>
      </c>
      <c r="O19" s="50">
        <v>8.1999999999999993</v>
      </c>
      <c r="P19" s="50">
        <v>9.5</v>
      </c>
      <c r="Q19" s="50">
        <v>10.8</v>
      </c>
      <c r="R19" s="50">
        <v>12.1</v>
      </c>
      <c r="S19" s="50">
        <v>13.4</v>
      </c>
      <c r="T19" s="50">
        <v>14.7</v>
      </c>
      <c r="U19" s="50">
        <v>16</v>
      </c>
      <c r="V19" s="50">
        <v>17.3</v>
      </c>
      <c r="W19" s="50">
        <v>18.600000000000001</v>
      </c>
      <c r="X19" s="50">
        <v>19.899999999999999</v>
      </c>
      <c r="Y19" s="50">
        <v>21.2</v>
      </c>
      <c r="Z19" s="50">
        <v>22.5</v>
      </c>
      <c r="AA19" s="50">
        <v>23.175000000000001</v>
      </c>
      <c r="AB19" s="50">
        <v>23.638500000000001</v>
      </c>
      <c r="AC19" s="50">
        <v>23.874880000000001</v>
      </c>
      <c r="AD19" s="50">
        <v>23.874880000000001</v>
      </c>
      <c r="AE19" s="50">
        <v>23.874880000000001</v>
      </c>
      <c r="AF19" s="50">
        <v>23.874880000000001</v>
      </c>
      <c r="AG19" s="50">
        <v>23.874880000000001</v>
      </c>
      <c r="AH19" s="50">
        <v>23.874880000000001</v>
      </c>
      <c r="AI19" s="50">
        <v>23.874880000000001</v>
      </c>
      <c r="AJ19" s="50">
        <v>23.874880000000001</v>
      </c>
      <c r="AK19" s="50">
        <v>23.874880000000001</v>
      </c>
      <c r="AL19" s="50">
        <v>23.874880000000001</v>
      </c>
      <c r="AM19" s="50">
        <v>23.874880000000001</v>
      </c>
      <c r="AN19" s="50">
        <v>23.874880000000001</v>
      </c>
      <c r="AO19" s="50">
        <v>23.874880000000001</v>
      </c>
      <c r="AP19" s="50">
        <v>23.874880000000001</v>
      </c>
      <c r="AQ19" s="50">
        <v>23.874880000000001</v>
      </c>
      <c r="AR19" s="50">
        <v>23.874880000000001</v>
      </c>
      <c r="AS19" s="50">
        <v>23.874880000000001</v>
      </c>
      <c r="AT19" s="50">
        <v>23.874880000000001</v>
      </c>
      <c r="AU19" s="50">
        <v>23.874880000000001</v>
      </c>
      <c r="AV19" s="50">
        <v>23.874880000000001</v>
      </c>
      <c r="AW19" s="50">
        <v>23.874880000000001</v>
      </c>
      <c r="AX19" s="50">
        <v>23.874880000000001</v>
      </c>
      <c r="AY19" s="50">
        <v>23.874880000000001</v>
      </c>
      <c r="AZ19" s="50">
        <v>23.874880000000001</v>
      </c>
      <c r="BA19" s="50">
        <v>23.874880000000001</v>
      </c>
      <c r="BB19" s="50">
        <v>23.874880000000001</v>
      </c>
      <c r="BC19" s="50">
        <v>23.874880000000001</v>
      </c>
      <c r="BD19" s="50">
        <v>23.874880000000001</v>
      </c>
      <c r="BE19" s="50">
        <v>23.874880000000001</v>
      </c>
      <c r="BF19" s="50">
        <v>23.874880000000001</v>
      </c>
      <c r="BG19" s="50">
        <v>23.874880000000001</v>
      </c>
      <c r="BH19" s="50">
        <v>23.874880000000001</v>
      </c>
      <c r="BI19" s="50">
        <v>23.874880000000001</v>
      </c>
      <c r="BJ19" t="e">
        <v>#N/A</v>
      </c>
      <c r="BK19" t="b">
        <v>1</v>
      </c>
    </row>
    <row r="20" spans="1:63" x14ac:dyDescent="0.3">
      <c r="A20" s="47" t="s">
        <v>270</v>
      </c>
      <c r="B20" s="51" t="s">
        <v>456</v>
      </c>
      <c r="C20" s="57" t="s">
        <v>269</v>
      </c>
      <c r="D20" s="47" t="s">
        <v>224</v>
      </c>
      <c r="E20" s="47" t="s">
        <v>304</v>
      </c>
      <c r="F20" s="47" t="s">
        <v>310</v>
      </c>
      <c r="G20" s="47" t="s">
        <v>99</v>
      </c>
      <c r="H20" s="47" t="s">
        <v>309</v>
      </c>
      <c r="I20" s="49" t="s">
        <v>622</v>
      </c>
      <c r="J20" s="50">
        <v>3.5622199999999999</v>
      </c>
      <c r="K20" s="50">
        <v>3.5777800000000002</v>
      </c>
      <c r="L20" s="50">
        <v>3.5933299999999999</v>
      </c>
      <c r="M20" s="50">
        <v>3.6088900000000002</v>
      </c>
      <c r="N20" s="50">
        <v>3.6244399999999999</v>
      </c>
      <c r="O20" s="50">
        <v>3.64</v>
      </c>
      <c r="P20" s="50">
        <v>3.6764000000000001</v>
      </c>
      <c r="Q20" s="50">
        <v>3.7131599999999998</v>
      </c>
      <c r="R20" s="50">
        <v>3.7503000000000002</v>
      </c>
      <c r="S20" s="50">
        <v>3.7877999999999998</v>
      </c>
      <c r="T20" s="50">
        <v>3.8256800000000002</v>
      </c>
      <c r="U20" s="50">
        <v>3.8639299999999999</v>
      </c>
      <c r="V20" s="50">
        <v>3.9025699999999999</v>
      </c>
      <c r="W20" s="50">
        <v>3.9416000000000002</v>
      </c>
      <c r="X20" s="50">
        <v>3.9810099999999999</v>
      </c>
      <c r="Y20" s="50">
        <v>4.0208199999999996</v>
      </c>
      <c r="Z20" s="50">
        <v>4.0610299999999997</v>
      </c>
      <c r="AA20" s="50">
        <v>4.1016399999999997</v>
      </c>
      <c r="AB20" s="50">
        <v>4.1426600000000002</v>
      </c>
      <c r="AC20" s="50">
        <v>4.1840900000000003</v>
      </c>
      <c r="AD20" s="50">
        <v>4.22593</v>
      </c>
      <c r="AE20" s="50">
        <v>4.2681899999999997</v>
      </c>
      <c r="AF20" s="50">
        <v>4.3108700000000004</v>
      </c>
      <c r="AG20" s="50">
        <v>4.35398</v>
      </c>
      <c r="AH20" s="50">
        <v>4.3975200000000001</v>
      </c>
      <c r="AI20" s="50">
        <v>4.4414899999999999</v>
      </c>
      <c r="AJ20" s="50">
        <v>4.4859099999999996</v>
      </c>
      <c r="AK20" s="50">
        <v>4.5307700000000004</v>
      </c>
      <c r="AL20" s="50">
        <v>4.5760699999999996</v>
      </c>
      <c r="AM20" s="50">
        <v>4.6218300000000001</v>
      </c>
      <c r="AN20" s="50">
        <v>4.66805</v>
      </c>
      <c r="AO20" s="50">
        <v>4.7147300000000003</v>
      </c>
      <c r="AP20" s="50">
        <v>4.7618799999999997</v>
      </c>
      <c r="AQ20" s="50">
        <v>4.8094999999999999</v>
      </c>
      <c r="AR20" s="50">
        <v>4.8575900000000001</v>
      </c>
      <c r="AS20" s="50">
        <v>4.9061700000000004</v>
      </c>
      <c r="AT20" s="50">
        <v>4.9552300000000002</v>
      </c>
      <c r="AU20" s="50">
        <v>5.0047800000000002</v>
      </c>
      <c r="AV20" s="50">
        <v>5.0548299999999999</v>
      </c>
      <c r="AW20" s="50">
        <v>5.1053800000000003</v>
      </c>
      <c r="AX20" s="50">
        <v>5.1564300000000003</v>
      </c>
      <c r="AY20" s="50">
        <v>5.2080000000000002</v>
      </c>
      <c r="AZ20" s="50">
        <v>5.2080000000000002</v>
      </c>
      <c r="BA20" s="50">
        <v>5.2080000000000002</v>
      </c>
      <c r="BB20" s="50">
        <v>5.2080000000000002</v>
      </c>
      <c r="BC20" s="50">
        <v>5.2080000000000002</v>
      </c>
      <c r="BD20" s="50">
        <v>5.2080000000000002</v>
      </c>
      <c r="BE20" s="50">
        <v>5.2080000000000002</v>
      </c>
      <c r="BF20" s="50">
        <v>5.2080000000000002</v>
      </c>
      <c r="BG20" s="50">
        <v>5.2080000000000002</v>
      </c>
      <c r="BH20" s="50">
        <v>5.2080000000000002</v>
      </c>
      <c r="BI20" s="50">
        <v>5.2080000000000002</v>
      </c>
      <c r="BJ20" t="e">
        <v>#N/A</v>
      </c>
      <c r="BK20" t="b">
        <v>1</v>
      </c>
    </row>
    <row r="21" spans="1:63" x14ac:dyDescent="0.3">
      <c r="A21" s="47" t="s">
        <v>270</v>
      </c>
      <c r="B21" s="51" t="s">
        <v>456</v>
      </c>
      <c r="C21" s="57" t="s">
        <v>269</v>
      </c>
      <c r="D21" s="47" t="s">
        <v>224</v>
      </c>
      <c r="E21" s="47" t="s">
        <v>304</v>
      </c>
      <c r="F21" s="47" t="s">
        <v>308</v>
      </c>
      <c r="G21" s="47" t="s">
        <v>99</v>
      </c>
      <c r="H21" s="47" t="s">
        <v>307</v>
      </c>
      <c r="I21" s="49" t="s">
        <v>622</v>
      </c>
      <c r="J21" s="50">
        <v>7.75556</v>
      </c>
      <c r="K21" s="50">
        <v>7.6333299999999999</v>
      </c>
      <c r="L21" s="50">
        <v>7.5111100000000004</v>
      </c>
      <c r="M21" s="50">
        <v>7.38889</v>
      </c>
      <c r="N21" s="50">
        <v>7.2666700000000004</v>
      </c>
      <c r="O21" s="50">
        <v>7.1444400000000003</v>
      </c>
      <c r="P21" s="50">
        <v>7.0222199999999999</v>
      </c>
      <c r="Q21" s="50">
        <v>7.0222199999999999</v>
      </c>
      <c r="R21" s="50">
        <v>7.0222199999999999</v>
      </c>
      <c r="S21" s="50">
        <v>7.0222199999999999</v>
      </c>
      <c r="T21" s="50">
        <v>7.0222199999999999</v>
      </c>
      <c r="U21" s="50">
        <v>7.0222199999999999</v>
      </c>
      <c r="V21" s="50">
        <v>7.0222199999999999</v>
      </c>
      <c r="W21" s="50">
        <v>7.0222199999999999</v>
      </c>
      <c r="X21" s="50">
        <v>7.0222199999999999</v>
      </c>
      <c r="Y21" s="50">
        <v>7.0222199999999999</v>
      </c>
      <c r="Z21" s="50">
        <v>7.0222199999999999</v>
      </c>
      <c r="AA21" s="50">
        <v>7.0222199999999999</v>
      </c>
      <c r="AB21" s="50">
        <v>7.0222199999999999</v>
      </c>
      <c r="AC21" s="50">
        <v>7.0222199999999999</v>
      </c>
      <c r="AD21" s="50">
        <v>7.0222199999999999</v>
      </c>
      <c r="AE21" s="50">
        <v>7.0222199999999999</v>
      </c>
      <c r="AF21" s="50">
        <v>7.0222199999999999</v>
      </c>
      <c r="AG21" s="50">
        <v>7.0222199999999999</v>
      </c>
      <c r="AH21" s="50">
        <v>7.0222199999999999</v>
      </c>
      <c r="AI21" s="50">
        <v>7.0222199999999999</v>
      </c>
      <c r="AJ21" s="50">
        <v>7.0222199999999999</v>
      </c>
      <c r="AK21" s="50">
        <v>7.0222199999999999</v>
      </c>
      <c r="AL21" s="50">
        <v>7.0222199999999999</v>
      </c>
      <c r="AM21" s="50">
        <v>7.0222199999999999</v>
      </c>
      <c r="AN21" s="50">
        <v>7.0222199999999999</v>
      </c>
      <c r="AO21" s="50">
        <v>7.0222199999999999</v>
      </c>
      <c r="AP21" s="50">
        <v>7.0222199999999999</v>
      </c>
      <c r="AQ21" s="50">
        <v>7.0222199999999999</v>
      </c>
      <c r="AR21" s="50">
        <v>7.0222199999999999</v>
      </c>
      <c r="AS21" s="50">
        <v>7.0222199999999999</v>
      </c>
      <c r="AT21" s="50">
        <v>7.0222199999999999</v>
      </c>
      <c r="AU21" s="50">
        <v>7.0222199999999999</v>
      </c>
      <c r="AV21" s="50">
        <v>7.0222199999999999</v>
      </c>
      <c r="AW21" s="50">
        <v>7.0222199999999999</v>
      </c>
      <c r="AX21" s="50">
        <v>7.0222199999999999</v>
      </c>
      <c r="AY21" s="50">
        <v>7.0222199999999999</v>
      </c>
      <c r="AZ21" s="50">
        <v>7.0222199999999999</v>
      </c>
      <c r="BA21" s="50">
        <v>7.0222199999999999</v>
      </c>
      <c r="BB21" s="50">
        <v>7.0222199999999999</v>
      </c>
      <c r="BC21" s="50">
        <v>7.0222199999999999</v>
      </c>
      <c r="BD21" s="50">
        <v>7.0222199999999999</v>
      </c>
      <c r="BE21" s="50">
        <v>7.0222199999999999</v>
      </c>
      <c r="BF21" s="50">
        <v>7.0222199999999999</v>
      </c>
      <c r="BG21" s="50">
        <v>7.0222199999999999</v>
      </c>
      <c r="BH21" s="50">
        <v>7.0222199999999999</v>
      </c>
      <c r="BI21" s="50">
        <v>7.0222199999999999</v>
      </c>
      <c r="BJ21" t="e">
        <v>#N/A</v>
      </c>
      <c r="BK21" t="b">
        <v>1</v>
      </c>
    </row>
    <row r="22" spans="1:63" x14ac:dyDescent="0.3">
      <c r="A22" s="47" t="s">
        <v>270</v>
      </c>
      <c r="B22" s="51" t="s">
        <v>456</v>
      </c>
      <c r="C22" s="57" t="s">
        <v>269</v>
      </c>
      <c r="D22" s="47" t="s">
        <v>224</v>
      </c>
      <c r="E22" s="47" t="s">
        <v>304</v>
      </c>
      <c r="F22" s="47" t="s">
        <v>306</v>
      </c>
      <c r="G22" s="47" t="s">
        <v>99</v>
      </c>
      <c r="H22" s="47" t="s">
        <v>305</v>
      </c>
      <c r="I22" s="49" t="s">
        <v>622</v>
      </c>
      <c r="J22" s="50">
        <v>28.933330000000002</v>
      </c>
      <c r="K22" s="50">
        <v>28.66667</v>
      </c>
      <c r="L22" s="50">
        <v>28.4</v>
      </c>
      <c r="M22" s="50">
        <v>28.133330000000001</v>
      </c>
      <c r="N22" s="50">
        <v>27.866669999999999</v>
      </c>
      <c r="O22" s="50">
        <v>27.6</v>
      </c>
      <c r="P22" s="50">
        <v>27.33333</v>
      </c>
      <c r="Q22" s="50">
        <v>27.066669999999998</v>
      </c>
      <c r="R22" s="50">
        <v>26.8</v>
      </c>
      <c r="S22" s="50">
        <v>26.533329999999999</v>
      </c>
      <c r="T22" s="50">
        <v>26.266670000000001</v>
      </c>
      <c r="U22" s="50">
        <v>26</v>
      </c>
      <c r="V22" s="50">
        <v>25.733329999999999</v>
      </c>
      <c r="W22" s="50">
        <v>25.466670000000001</v>
      </c>
      <c r="X22" s="50">
        <v>25.2</v>
      </c>
      <c r="Y22" s="50">
        <v>24.933330000000002</v>
      </c>
      <c r="Z22" s="50">
        <v>24.66667</v>
      </c>
      <c r="AA22" s="50">
        <v>24.4</v>
      </c>
      <c r="AB22" s="50">
        <v>24.133330000000001</v>
      </c>
      <c r="AC22" s="50">
        <v>23.866669999999999</v>
      </c>
      <c r="AD22" s="50">
        <v>23.6</v>
      </c>
      <c r="AE22" s="50">
        <v>23.33333</v>
      </c>
      <c r="AF22" s="50">
        <v>23.066669999999998</v>
      </c>
      <c r="AG22" s="50">
        <v>22.8</v>
      </c>
      <c r="AH22" s="50">
        <v>22.533329999999999</v>
      </c>
      <c r="AI22" s="50">
        <v>22.266670000000001</v>
      </c>
      <c r="AJ22" s="50">
        <v>22</v>
      </c>
      <c r="AK22" s="50">
        <v>21.733329999999999</v>
      </c>
      <c r="AL22" s="50">
        <v>21.466670000000001</v>
      </c>
      <c r="AM22" s="50">
        <v>21.2</v>
      </c>
      <c r="AN22" s="50">
        <v>21</v>
      </c>
      <c r="AO22" s="50">
        <v>21</v>
      </c>
      <c r="AP22" s="50">
        <v>21</v>
      </c>
      <c r="AQ22" s="50">
        <v>21</v>
      </c>
      <c r="AR22" s="50">
        <v>21</v>
      </c>
      <c r="AS22" s="50">
        <v>21</v>
      </c>
      <c r="AT22" s="50">
        <v>21</v>
      </c>
      <c r="AU22" s="50">
        <v>21</v>
      </c>
      <c r="AV22" s="50">
        <v>21</v>
      </c>
      <c r="AW22" s="50">
        <v>21</v>
      </c>
      <c r="AX22" s="50">
        <v>21</v>
      </c>
      <c r="AY22" s="50">
        <v>21</v>
      </c>
      <c r="AZ22" s="50">
        <v>21</v>
      </c>
      <c r="BA22" s="50">
        <v>21</v>
      </c>
      <c r="BB22" s="50">
        <v>21</v>
      </c>
      <c r="BC22" s="50">
        <v>21</v>
      </c>
      <c r="BD22" s="50">
        <v>21</v>
      </c>
      <c r="BE22" s="50">
        <v>21</v>
      </c>
      <c r="BF22" s="50">
        <v>21</v>
      </c>
      <c r="BG22" s="50">
        <v>21</v>
      </c>
      <c r="BH22" s="50">
        <v>21</v>
      </c>
      <c r="BI22" s="50">
        <v>21</v>
      </c>
      <c r="BJ22" t="e">
        <v>#N/A</v>
      </c>
      <c r="BK22" t="b">
        <v>1</v>
      </c>
    </row>
    <row r="23" spans="1:63" x14ac:dyDescent="0.3">
      <c r="A23" s="47" t="s">
        <v>270</v>
      </c>
      <c r="B23" s="51" t="s">
        <v>456</v>
      </c>
      <c r="C23" s="57" t="s">
        <v>269</v>
      </c>
      <c r="D23" s="47" t="s">
        <v>224</v>
      </c>
      <c r="E23" s="47" t="s">
        <v>304</v>
      </c>
      <c r="F23" s="47" t="s">
        <v>303</v>
      </c>
      <c r="G23" s="47" t="s">
        <v>99</v>
      </c>
      <c r="H23" s="47" t="s">
        <v>302</v>
      </c>
      <c r="I23" s="49" t="s">
        <v>622</v>
      </c>
      <c r="J23" s="50">
        <v>1.2720899999999999</v>
      </c>
      <c r="K23" s="50">
        <v>1.25814</v>
      </c>
      <c r="L23" s="50">
        <v>1.2441899999999999</v>
      </c>
      <c r="M23" s="50">
        <v>1.2302299999999999</v>
      </c>
      <c r="N23" s="50">
        <v>1.21628</v>
      </c>
      <c r="O23" s="50">
        <v>1.2023299999999999</v>
      </c>
      <c r="P23" s="50">
        <v>1.1883699999999999</v>
      </c>
      <c r="Q23" s="50">
        <v>1.17442</v>
      </c>
      <c r="R23" s="50">
        <v>1.1604699999999999</v>
      </c>
      <c r="S23" s="50">
        <v>1.1465099999999999</v>
      </c>
      <c r="T23" s="50">
        <v>1.13256</v>
      </c>
      <c r="U23" s="50">
        <v>1.1186</v>
      </c>
      <c r="V23" s="50">
        <v>1.1046499999999999</v>
      </c>
      <c r="W23" s="50">
        <v>1.0907</v>
      </c>
      <c r="X23" s="50">
        <v>1.07674</v>
      </c>
      <c r="Y23" s="50">
        <v>1.0627899999999999</v>
      </c>
      <c r="Z23" s="50">
        <v>1.04884</v>
      </c>
      <c r="AA23" s="50">
        <v>1.03488</v>
      </c>
      <c r="AB23" s="50">
        <v>1.0209299999999999</v>
      </c>
      <c r="AC23" s="50">
        <v>1.00698</v>
      </c>
      <c r="AD23" s="50">
        <v>0.99302000000000001</v>
      </c>
      <c r="AE23" s="50">
        <v>0.97907</v>
      </c>
      <c r="AF23" s="50">
        <v>0.96511999999999998</v>
      </c>
      <c r="AG23" s="50">
        <v>0.95116000000000001</v>
      </c>
      <c r="AH23" s="50">
        <v>0.93720999999999999</v>
      </c>
      <c r="AI23" s="50">
        <v>0.92325999999999997</v>
      </c>
      <c r="AJ23" s="50">
        <v>0.9093</v>
      </c>
      <c r="AK23" s="50">
        <v>0.89534999999999998</v>
      </c>
      <c r="AL23" s="50">
        <v>0.88139999999999996</v>
      </c>
      <c r="AM23" s="50">
        <v>0.86743999999999999</v>
      </c>
      <c r="AN23" s="50">
        <v>0.85348999999999997</v>
      </c>
      <c r="AO23" s="50">
        <v>0.83953</v>
      </c>
      <c r="AP23" s="50">
        <v>0.82557999999999998</v>
      </c>
      <c r="AQ23" s="50">
        <v>0.81162999999999996</v>
      </c>
      <c r="AR23" s="50">
        <v>0.79766999999999999</v>
      </c>
      <c r="AS23" s="50">
        <v>0.78371999999999997</v>
      </c>
      <c r="AT23" s="50">
        <v>0.76976999999999995</v>
      </c>
      <c r="AU23" s="50">
        <v>0.75580999999999998</v>
      </c>
      <c r="AV23" s="50">
        <v>0.74185999999999996</v>
      </c>
      <c r="AW23" s="50">
        <v>0.72790999999999995</v>
      </c>
      <c r="AX23" s="50">
        <v>0.71394999999999997</v>
      </c>
      <c r="AY23" s="50">
        <v>0.7</v>
      </c>
      <c r="AZ23" s="50">
        <v>0.7</v>
      </c>
      <c r="BA23" s="50">
        <v>0.7</v>
      </c>
      <c r="BB23" s="50">
        <v>0.7</v>
      </c>
      <c r="BC23" s="50">
        <v>0.7</v>
      </c>
      <c r="BD23" s="50">
        <v>0.7</v>
      </c>
      <c r="BE23" s="50">
        <v>0.7</v>
      </c>
      <c r="BF23" s="50">
        <v>0.7</v>
      </c>
      <c r="BG23" s="50">
        <v>0.7</v>
      </c>
      <c r="BH23" s="50">
        <v>0.7</v>
      </c>
      <c r="BI23" s="50">
        <v>0.7</v>
      </c>
      <c r="BJ23" t="e">
        <v>#N/A</v>
      </c>
      <c r="BK23" t="b">
        <v>1</v>
      </c>
    </row>
    <row r="24" spans="1:63" ht="15" thickBot="1" x14ac:dyDescent="0.35">
      <c r="A24" s="47" t="s">
        <v>270</v>
      </c>
      <c r="B24" s="48" t="s">
        <v>429</v>
      </c>
      <c r="C24" s="57" t="s">
        <v>397</v>
      </c>
      <c r="D24" s="47" t="s">
        <v>224</v>
      </c>
      <c r="E24" s="52"/>
      <c r="F24" s="52" t="s">
        <v>201</v>
      </c>
      <c r="G24" s="47" t="s">
        <v>99</v>
      </c>
      <c r="H24" s="47" t="s">
        <v>301</v>
      </c>
      <c r="I24" s="49" t="s">
        <v>622</v>
      </c>
      <c r="J24" s="50">
        <v>132.26229000000001</v>
      </c>
      <c r="K24" s="50">
        <v>130.44511</v>
      </c>
      <c r="L24" s="50">
        <v>130.96653000000001</v>
      </c>
      <c r="M24" s="50">
        <v>128.37318999999999</v>
      </c>
      <c r="N24" s="50">
        <v>125.9242</v>
      </c>
      <c r="O24" s="50">
        <v>124.73345999999999</v>
      </c>
      <c r="P24" s="50">
        <v>124.71928</v>
      </c>
      <c r="Q24" s="50">
        <v>124.89230999999999</v>
      </c>
      <c r="R24" s="50">
        <v>125.10709</v>
      </c>
      <c r="S24" s="50">
        <v>125.35972</v>
      </c>
      <c r="T24" s="50">
        <v>125.6437</v>
      </c>
      <c r="U24" s="50">
        <v>125.90615</v>
      </c>
      <c r="V24" s="50">
        <v>126.04473</v>
      </c>
      <c r="W24" s="50">
        <v>126.12381000000001</v>
      </c>
      <c r="X24" s="50">
        <v>126.11973</v>
      </c>
      <c r="Y24" s="50">
        <v>126.03112</v>
      </c>
      <c r="Z24" s="50">
        <v>125.85621999999999</v>
      </c>
      <c r="AA24" s="50">
        <v>125.08547</v>
      </c>
      <c r="AB24" s="50">
        <v>124.16555</v>
      </c>
      <c r="AC24" s="50">
        <v>122.93387</v>
      </c>
      <c r="AD24" s="50">
        <v>121.45976</v>
      </c>
      <c r="AE24" s="50">
        <v>119.92399</v>
      </c>
      <c r="AF24" s="50">
        <v>118.5809</v>
      </c>
      <c r="AG24" s="50">
        <v>117.23578000000001</v>
      </c>
      <c r="AH24" s="50">
        <v>115.89637999999999</v>
      </c>
      <c r="AI24" s="50">
        <v>114.57101</v>
      </c>
      <c r="AJ24" s="50">
        <v>113.27213</v>
      </c>
      <c r="AK24" s="50">
        <v>111.97674000000001</v>
      </c>
      <c r="AL24" s="50">
        <v>110.69165</v>
      </c>
      <c r="AM24" s="50">
        <v>109.42565</v>
      </c>
      <c r="AN24" s="50">
        <v>108.31191</v>
      </c>
      <c r="AO24" s="50">
        <v>107.40139000000001</v>
      </c>
      <c r="AP24" s="50">
        <v>106.85822</v>
      </c>
      <c r="AQ24" s="50">
        <v>106.34408999999999</v>
      </c>
      <c r="AR24" s="50">
        <v>105.87724</v>
      </c>
      <c r="AS24" s="50">
        <v>105.45646000000001</v>
      </c>
      <c r="AT24" s="50">
        <v>105.07907</v>
      </c>
      <c r="AU24" s="50">
        <v>104.74643</v>
      </c>
      <c r="AV24" s="50">
        <v>104.45298</v>
      </c>
      <c r="AW24" s="50">
        <v>104.18982</v>
      </c>
      <c r="AX24" s="50">
        <v>103.95220999999999</v>
      </c>
      <c r="AY24" s="50">
        <v>103.73578000000001</v>
      </c>
      <c r="AZ24" s="50">
        <v>103.54489</v>
      </c>
      <c r="BA24" s="50">
        <v>103.36613</v>
      </c>
      <c r="BB24" s="50">
        <v>103.19656999999999</v>
      </c>
      <c r="BC24" s="50">
        <v>103.03379</v>
      </c>
      <c r="BD24" s="50">
        <v>102.8749</v>
      </c>
      <c r="BE24" s="50">
        <v>102.71595000000001</v>
      </c>
      <c r="BF24" s="50">
        <v>102.55892</v>
      </c>
      <c r="BG24" s="50">
        <v>102.40881</v>
      </c>
      <c r="BH24" s="50">
        <v>102.28406</v>
      </c>
      <c r="BI24" s="50">
        <v>102.152</v>
      </c>
    </row>
    <row r="25" spans="1:63" ht="15.6" thickTop="1" thickBot="1" x14ac:dyDescent="0.35">
      <c r="A25" s="47" t="s">
        <v>270</v>
      </c>
      <c r="B25" s="51" t="s">
        <v>456</v>
      </c>
      <c r="C25" s="57" t="s">
        <v>269</v>
      </c>
      <c r="D25" s="47" t="s">
        <v>224</v>
      </c>
      <c r="E25" s="52"/>
      <c r="F25" s="52" t="s">
        <v>197</v>
      </c>
      <c r="G25" s="47" t="s">
        <v>99</v>
      </c>
      <c r="H25" s="47"/>
      <c r="I25" s="47"/>
      <c r="J25" s="55">
        <f>J24-SUM(J11:J23)</f>
        <v>0</v>
      </c>
      <c r="K25" s="55">
        <f t="shared" ref="K25:BI25" si="2">K24-SUM(K11:K23)</f>
        <v>0</v>
      </c>
      <c r="L25" s="55">
        <f t="shared" si="2"/>
        <v>-9.9999999747524271E-6</v>
      </c>
      <c r="M25" s="55">
        <f t="shared" si="2"/>
        <v>-1.0000000003174137E-5</v>
      </c>
      <c r="N25" s="55">
        <f t="shared" si="2"/>
        <v>0</v>
      </c>
      <c r="O25" s="55">
        <f t="shared" si="2"/>
        <v>0</v>
      </c>
      <c r="P25" s="55">
        <f t="shared" si="2"/>
        <v>9.9999999889632818E-6</v>
      </c>
      <c r="Q25" s="55">
        <f t="shared" si="2"/>
        <v>1.9999999992137418E-5</v>
      </c>
      <c r="R25" s="55">
        <f t="shared" si="2"/>
        <v>-1.9999999992137418E-5</v>
      </c>
      <c r="S25" s="55">
        <f t="shared" si="2"/>
        <v>0</v>
      </c>
      <c r="T25" s="55">
        <f t="shared" si="2"/>
        <v>0</v>
      </c>
      <c r="U25" s="55">
        <f t="shared" si="2"/>
        <v>9.9999999889632818E-6</v>
      </c>
      <c r="V25" s="55">
        <f t="shared" si="2"/>
        <v>1.0000000003174137E-5</v>
      </c>
      <c r="W25" s="55">
        <f t="shared" si="2"/>
        <v>0</v>
      </c>
      <c r="X25" s="55">
        <f t="shared" si="2"/>
        <v>9.9999999889632818E-6</v>
      </c>
      <c r="Y25" s="55">
        <f t="shared" si="2"/>
        <v>0</v>
      </c>
      <c r="Z25" s="55">
        <f t="shared" si="2"/>
        <v>0</v>
      </c>
      <c r="AA25" s="55">
        <f t="shared" si="2"/>
        <v>1.0000000003174137E-5</v>
      </c>
      <c r="AB25" s="55">
        <f t="shared" si="2"/>
        <v>0</v>
      </c>
      <c r="AC25" s="55">
        <f t="shared" si="2"/>
        <v>-1.0000000003174137E-5</v>
      </c>
      <c r="AD25" s="55">
        <f t="shared" si="2"/>
        <v>1.9999999992137418E-5</v>
      </c>
      <c r="AE25" s="55">
        <f t="shared" si="2"/>
        <v>0</v>
      </c>
      <c r="AF25" s="55">
        <f t="shared" si="2"/>
        <v>-2.0000000006348273E-5</v>
      </c>
      <c r="AG25" s="55">
        <f t="shared" si="2"/>
        <v>1.0000000003174137E-5</v>
      </c>
      <c r="AH25" s="55">
        <f t="shared" si="2"/>
        <v>1.0000000003174137E-5</v>
      </c>
      <c r="AI25" s="55">
        <f t="shared" si="2"/>
        <v>9.9999999889632818E-6</v>
      </c>
      <c r="AJ25" s="55">
        <f t="shared" si="2"/>
        <v>9.9999999889632818E-6</v>
      </c>
      <c r="AK25" s="55">
        <f t="shared" si="2"/>
        <v>0</v>
      </c>
      <c r="AL25" s="55">
        <f t="shared" si="2"/>
        <v>0</v>
      </c>
      <c r="AM25" s="55">
        <f t="shared" si="2"/>
        <v>1.9999999992137418E-5</v>
      </c>
      <c r="AN25" s="55">
        <f t="shared" si="2"/>
        <v>2.0000000006348273E-5</v>
      </c>
      <c r="AO25" s="55">
        <f t="shared" si="2"/>
        <v>1.0000000003174137E-5</v>
      </c>
      <c r="AP25" s="55">
        <f t="shared" si="2"/>
        <v>0</v>
      </c>
      <c r="AQ25" s="55">
        <f t="shared" si="2"/>
        <v>9.9999999889632818E-6</v>
      </c>
      <c r="AR25" s="55">
        <f t="shared" si="2"/>
        <v>1.0000000003174137E-5</v>
      </c>
      <c r="AS25" s="55">
        <f t="shared" si="2"/>
        <v>9.9999999889632818E-6</v>
      </c>
      <c r="AT25" s="55">
        <f t="shared" si="2"/>
        <v>0</v>
      </c>
      <c r="AU25" s="55">
        <f t="shared" si="2"/>
        <v>3.000000000952241E-5</v>
      </c>
      <c r="AV25" s="55">
        <f t="shared" si="2"/>
        <v>0</v>
      </c>
      <c r="AW25" s="55">
        <f t="shared" si="2"/>
        <v>1.0000000003174137E-5</v>
      </c>
      <c r="AX25" s="55">
        <f t="shared" si="2"/>
        <v>1.9999999992137418E-5</v>
      </c>
      <c r="AY25" s="55">
        <f t="shared" si="2"/>
        <v>1.0000000003174137E-5</v>
      </c>
      <c r="AZ25" s="55">
        <f t="shared" si="2"/>
        <v>9.9999999747524271E-6</v>
      </c>
      <c r="BA25" s="55">
        <f t="shared" si="2"/>
        <v>9.9999999889632818E-6</v>
      </c>
      <c r="BB25" s="55">
        <f t="shared" si="2"/>
        <v>9.9999999889632818E-6</v>
      </c>
      <c r="BC25" s="55">
        <f t="shared" si="2"/>
        <v>9.9999999889632818E-6</v>
      </c>
      <c r="BD25" s="55">
        <f t="shared" si="2"/>
        <v>0</v>
      </c>
      <c r="BE25" s="55">
        <f t="shared" si="2"/>
        <v>1.0000000003174137E-5</v>
      </c>
      <c r="BF25" s="55">
        <f t="shared" si="2"/>
        <v>9.9999999889632818E-6</v>
      </c>
      <c r="BG25" s="55">
        <f t="shared" si="2"/>
        <v>2.0000000006348273E-5</v>
      </c>
      <c r="BH25" s="55">
        <f t="shared" si="2"/>
        <v>9.9999999889632818E-6</v>
      </c>
      <c r="BI25" s="55">
        <f t="shared" si="2"/>
        <v>9.9999999889632818E-6</v>
      </c>
    </row>
    <row r="26" spans="1:63" ht="15" thickTop="1" x14ac:dyDescent="0.3">
      <c r="A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</row>
    <row r="27" spans="1:63" x14ac:dyDescent="0.3">
      <c r="A27" s="47" t="s">
        <v>270</v>
      </c>
      <c r="B27" s="51" t="s">
        <v>456</v>
      </c>
      <c r="C27" s="57" t="s">
        <v>269</v>
      </c>
      <c r="D27" s="47" t="s">
        <v>223</v>
      </c>
      <c r="E27" s="47"/>
      <c r="F27" s="47" t="s">
        <v>300</v>
      </c>
      <c r="G27" s="47" t="s">
        <v>99</v>
      </c>
      <c r="H27" s="47" t="s">
        <v>299</v>
      </c>
      <c r="I27" s="49" t="s">
        <v>498</v>
      </c>
      <c r="J27" s="50">
        <v>0.33090999999999998</v>
      </c>
      <c r="K27" s="50">
        <v>0.42852000000000001</v>
      </c>
      <c r="L27" s="50">
        <v>0.80105000000000004</v>
      </c>
      <c r="M27" s="50">
        <v>1.4272800000000001</v>
      </c>
      <c r="N27" s="50">
        <v>1.9915799999999999</v>
      </c>
      <c r="O27" s="50">
        <v>2.8485299999999998</v>
      </c>
      <c r="P27" s="50">
        <v>4.0933099999999998</v>
      </c>
      <c r="Q27" s="50">
        <v>5.1722000000000001</v>
      </c>
      <c r="R27" s="50">
        <v>6.5854999999999997</v>
      </c>
      <c r="S27" s="50">
        <v>8.0672300000000003</v>
      </c>
      <c r="T27" s="50">
        <v>9.7876100000000008</v>
      </c>
      <c r="U27" s="50">
        <v>11.91067</v>
      </c>
      <c r="V27" s="50">
        <v>14.2006</v>
      </c>
      <c r="W27" s="50">
        <v>16.371839999999999</v>
      </c>
      <c r="X27" s="50">
        <v>18.63486</v>
      </c>
      <c r="Y27" s="50">
        <v>20.842099999999999</v>
      </c>
      <c r="Z27" s="50">
        <v>23.020099999999999</v>
      </c>
      <c r="AA27" s="50">
        <v>25.151440000000001</v>
      </c>
      <c r="AB27" s="50">
        <v>27.449359999999999</v>
      </c>
      <c r="AC27" s="50">
        <v>29.719270000000002</v>
      </c>
      <c r="AD27" s="50">
        <v>31.979399999999998</v>
      </c>
      <c r="AE27" s="50">
        <v>34.240920000000003</v>
      </c>
      <c r="AF27" s="50">
        <v>36.636679999999998</v>
      </c>
      <c r="AG27" s="50">
        <v>39.009340000000002</v>
      </c>
      <c r="AH27" s="50">
        <v>41.270060000000001</v>
      </c>
      <c r="AI27" s="50">
        <v>43.329189999999997</v>
      </c>
      <c r="AJ27" s="50">
        <v>45.100029999999997</v>
      </c>
      <c r="AK27" s="50">
        <v>46.637729999999998</v>
      </c>
      <c r="AL27" s="50">
        <v>47.868580000000001</v>
      </c>
      <c r="AM27" s="50">
        <v>48.806930000000001</v>
      </c>
      <c r="AN27" s="50">
        <v>49.478189999999998</v>
      </c>
      <c r="AO27" s="50">
        <v>49.67895</v>
      </c>
      <c r="AP27" s="50">
        <v>49.676400000000001</v>
      </c>
      <c r="AQ27" s="50">
        <v>49.655560000000001</v>
      </c>
      <c r="AR27" s="50">
        <v>49.631019999999999</v>
      </c>
      <c r="AS27" s="50">
        <v>49.602640000000001</v>
      </c>
      <c r="AT27" s="50">
        <v>49.570770000000003</v>
      </c>
      <c r="AU27" s="50">
        <v>49.535870000000003</v>
      </c>
      <c r="AV27" s="50">
        <v>49.498449999999998</v>
      </c>
      <c r="AW27" s="50">
        <v>49.459000000000003</v>
      </c>
      <c r="AX27" s="50">
        <v>49.418089999999999</v>
      </c>
      <c r="AY27" s="50">
        <v>49.376519999999999</v>
      </c>
      <c r="AZ27" s="50">
        <v>49.335070000000002</v>
      </c>
      <c r="BA27" s="50">
        <v>49.293930000000003</v>
      </c>
      <c r="BB27" s="50">
        <v>49.253729999999997</v>
      </c>
      <c r="BC27" s="50">
        <v>49.215029999999999</v>
      </c>
      <c r="BD27" s="50">
        <v>49.178130000000003</v>
      </c>
      <c r="BE27" s="50">
        <v>49.143389999999997</v>
      </c>
      <c r="BF27" s="50">
        <v>49.110860000000002</v>
      </c>
      <c r="BG27" s="50">
        <v>49.080590000000001</v>
      </c>
      <c r="BH27" s="50">
        <v>49.052619999999997</v>
      </c>
      <c r="BI27" s="50">
        <v>49.023159999999997</v>
      </c>
      <c r="BJ27" t="e">
        <v>#N/A</v>
      </c>
      <c r="BK27" t="b">
        <v>1</v>
      </c>
    </row>
    <row r="28" spans="1:63" x14ac:dyDescent="0.3">
      <c r="A28" s="47" t="s">
        <v>270</v>
      </c>
      <c r="B28" s="51" t="s">
        <v>456</v>
      </c>
      <c r="C28" s="57" t="s">
        <v>269</v>
      </c>
      <c r="D28" s="47" t="s">
        <v>223</v>
      </c>
      <c r="E28" s="47"/>
      <c r="F28" s="47" t="s">
        <v>298</v>
      </c>
      <c r="G28" s="47" t="s">
        <v>99</v>
      </c>
      <c r="H28" s="47" t="s">
        <v>297</v>
      </c>
      <c r="I28" s="49" t="s">
        <v>498</v>
      </c>
      <c r="J28" s="50">
        <v>8.7058700000000009</v>
      </c>
      <c r="K28" s="50">
        <v>5.0252999999999997</v>
      </c>
      <c r="L28" s="50">
        <v>6.5983299999999998</v>
      </c>
      <c r="M28" s="50">
        <v>8.9317399999999996</v>
      </c>
      <c r="N28" s="50">
        <v>9.4796999999999993</v>
      </c>
      <c r="O28" s="50">
        <v>10.11228</v>
      </c>
      <c r="P28" s="50">
        <v>10.439640000000001</v>
      </c>
      <c r="Q28" s="50">
        <v>10.534549999999999</v>
      </c>
      <c r="R28" s="50">
        <v>10.630750000000001</v>
      </c>
      <c r="S28" s="50">
        <v>10.670030000000001</v>
      </c>
      <c r="T28" s="50">
        <v>10.71177</v>
      </c>
      <c r="U28" s="50">
        <v>10.760479999999999</v>
      </c>
      <c r="V28" s="50">
        <v>10.86162</v>
      </c>
      <c r="W28" s="50">
        <v>11.022460000000001</v>
      </c>
      <c r="X28" s="50">
        <v>11.323829999999999</v>
      </c>
      <c r="Y28" s="50">
        <v>11.64611</v>
      </c>
      <c r="Z28" s="50">
        <v>11.98696</v>
      </c>
      <c r="AA28" s="50">
        <v>12.348420000000001</v>
      </c>
      <c r="AB28" s="50">
        <v>12.72236</v>
      </c>
      <c r="AC28" s="50">
        <v>13.10345</v>
      </c>
      <c r="AD28" s="50">
        <v>13.48687</v>
      </c>
      <c r="AE28" s="50">
        <v>13.87792</v>
      </c>
      <c r="AF28" s="50">
        <v>14.214729999999999</v>
      </c>
      <c r="AG28" s="50">
        <v>14.53928</v>
      </c>
      <c r="AH28" s="50">
        <v>14.84961</v>
      </c>
      <c r="AI28" s="50">
        <v>15.145020000000001</v>
      </c>
      <c r="AJ28" s="50">
        <v>15.436859999999999</v>
      </c>
      <c r="AK28" s="50">
        <v>15.71599</v>
      </c>
      <c r="AL28" s="50">
        <v>15.984310000000001</v>
      </c>
      <c r="AM28" s="50">
        <v>16.244309999999999</v>
      </c>
      <c r="AN28" s="50">
        <v>16.49859</v>
      </c>
      <c r="AO28" s="50">
        <v>16.800419999999999</v>
      </c>
      <c r="AP28" s="50">
        <v>16.804970000000001</v>
      </c>
      <c r="AQ28" s="50">
        <v>16.780919999999998</v>
      </c>
      <c r="AR28" s="50">
        <v>16.752079999999999</v>
      </c>
      <c r="AS28" s="50">
        <v>16.718139999999998</v>
      </c>
      <c r="AT28" s="50">
        <v>16.753679999999999</v>
      </c>
      <c r="AU28" s="50">
        <v>16.6327</v>
      </c>
      <c r="AV28" s="50">
        <v>16.70825</v>
      </c>
      <c r="AW28" s="50">
        <v>16.785530000000001</v>
      </c>
      <c r="AX28" s="50">
        <v>16.864879999999999</v>
      </c>
      <c r="AY28" s="50">
        <v>16.94679</v>
      </c>
      <c r="AZ28" s="50">
        <v>16.991150000000001</v>
      </c>
      <c r="BA28" s="50">
        <v>17.007020000000001</v>
      </c>
      <c r="BB28" s="50">
        <v>17.023630000000001</v>
      </c>
      <c r="BC28" s="50">
        <v>17.041029999999999</v>
      </c>
      <c r="BD28" s="50">
        <v>17.059349999999998</v>
      </c>
      <c r="BE28" s="50">
        <v>17.078710000000001</v>
      </c>
      <c r="BF28" s="50">
        <v>17.099170000000001</v>
      </c>
      <c r="BG28" s="50">
        <v>17.120729999999998</v>
      </c>
      <c r="BH28" s="50">
        <v>17.143439999999998</v>
      </c>
      <c r="BI28" s="50">
        <v>17.16583</v>
      </c>
      <c r="BJ28" t="e">
        <v>#N/A</v>
      </c>
      <c r="BK28" t="b">
        <v>1</v>
      </c>
    </row>
    <row r="29" spans="1:63" ht="15" thickBot="1" x14ac:dyDescent="0.35">
      <c r="A29" s="47" t="s">
        <v>270</v>
      </c>
      <c r="B29" s="48" t="s">
        <v>429</v>
      </c>
      <c r="C29" s="57" t="s">
        <v>398</v>
      </c>
      <c r="D29" s="47" t="s">
        <v>223</v>
      </c>
      <c r="E29" s="52"/>
      <c r="F29" s="52" t="s">
        <v>201</v>
      </c>
      <c r="G29" s="47" t="s">
        <v>99</v>
      </c>
      <c r="H29" s="47" t="s">
        <v>296</v>
      </c>
      <c r="I29" s="49" t="s">
        <v>498</v>
      </c>
      <c r="J29" s="50">
        <v>9.0367800000000003</v>
      </c>
      <c r="K29" s="50">
        <v>5.4538200000000003</v>
      </c>
      <c r="L29" s="50">
        <v>7.3993799999999998</v>
      </c>
      <c r="M29" s="50">
        <v>10.35901</v>
      </c>
      <c r="N29" s="50">
        <v>11.47128</v>
      </c>
      <c r="O29" s="50">
        <v>12.96082</v>
      </c>
      <c r="P29" s="50">
        <v>14.53295</v>
      </c>
      <c r="Q29" s="50">
        <v>15.70675</v>
      </c>
      <c r="R29" s="50">
        <v>17.216249999999999</v>
      </c>
      <c r="S29" s="50">
        <v>18.737259999999999</v>
      </c>
      <c r="T29" s="50">
        <v>20.499369999999999</v>
      </c>
      <c r="U29" s="50">
        <v>22.671150000000001</v>
      </c>
      <c r="V29" s="50">
        <v>25.06221</v>
      </c>
      <c r="W29" s="50">
        <v>27.394300000000001</v>
      </c>
      <c r="X29" s="50">
        <v>29.9587</v>
      </c>
      <c r="Y29" s="50">
        <v>32.488199999999999</v>
      </c>
      <c r="Z29" s="50">
        <v>35.007060000000003</v>
      </c>
      <c r="AA29" s="50">
        <v>37.499859999999998</v>
      </c>
      <c r="AB29" s="50">
        <v>40.171720000000001</v>
      </c>
      <c r="AC29" s="50">
        <v>42.82273</v>
      </c>
      <c r="AD29" s="50">
        <v>45.466270000000002</v>
      </c>
      <c r="AE29" s="50">
        <v>48.118839999999999</v>
      </c>
      <c r="AF29" s="50">
        <v>50.851419999999997</v>
      </c>
      <c r="AG29" s="50">
        <v>53.54862</v>
      </c>
      <c r="AH29" s="50">
        <v>56.119669999999999</v>
      </c>
      <c r="AI29" s="50">
        <v>58.474209999999999</v>
      </c>
      <c r="AJ29" s="50">
        <v>60.53689</v>
      </c>
      <c r="AK29" s="50">
        <v>62.353720000000003</v>
      </c>
      <c r="AL29" s="50">
        <v>63.852890000000002</v>
      </c>
      <c r="AM29" s="50">
        <v>65.051230000000004</v>
      </c>
      <c r="AN29" s="50">
        <v>65.976780000000005</v>
      </c>
      <c r="AO29" s="50">
        <v>66.479370000000003</v>
      </c>
      <c r="AP29" s="50">
        <v>66.481369999999998</v>
      </c>
      <c r="AQ29" s="50">
        <v>66.436480000000003</v>
      </c>
      <c r="AR29" s="50">
        <v>66.383099999999999</v>
      </c>
      <c r="AS29" s="50">
        <v>66.320779999999999</v>
      </c>
      <c r="AT29" s="50">
        <v>66.324449999999999</v>
      </c>
      <c r="AU29" s="50">
        <v>66.168570000000003</v>
      </c>
      <c r="AV29" s="50">
        <v>66.206699999999998</v>
      </c>
      <c r="AW29" s="50">
        <v>66.244519999999994</v>
      </c>
      <c r="AX29" s="50">
        <v>66.282970000000006</v>
      </c>
      <c r="AY29" s="50">
        <v>66.323310000000006</v>
      </c>
      <c r="AZ29" s="50">
        <v>66.326220000000006</v>
      </c>
      <c r="BA29" s="50">
        <v>66.30095</v>
      </c>
      <c r="BB29" s="50">
        <v>66.277360000000002</v>
      </c>
      <c r="BC29" s="50">
        <v>66.256060000000005</v>
      </c>
      <c r="BD29" s="50">
        <v>66.237480000000005</v>
      </c>
      <c r="BE29" s="50">
        <v>66.222110000000001</v>
      </c>
      <c r="BF29" s="50">
        <v>66.21002</v>
      </c>
      <c r="BG29" s="50">
        <v>66.201319999999996</v>
      </c>
      <c r="BH29" s="50">
        <v>66.196060000000003</v>
      </c>
      <c r="BI29" s="50">
        <v>66.188990000000004</v>
      </c>
      <c r="BJ29" t="s">
        <v>508</v>
      </c>
    </row>
    <row r="30" spans="1:63" ht="15.6" thickTop="1" thickBot="1" x14ac:dyDescent="0.35">
      <c r="A30" s="47" t="s">
        <v>270</v>
      </c>
      <c r="B30" s="51" t="s">
        <v>456</v>
      </c>
      <c r="C30" s="57" t="s">
        <v>269</v>
      </c>
      <c r="D30" s="47" t="s">
        <v>223</v>
      </c>
      <c r="E30" s="52"/>
      <c r="F30" s="52" t="s">
        <v>197</v>
      </c>
      <c r="G30" s="47" t="s">
        <v>99</v>
      </c>
      <c r="H30" s="47"/>
      <c r="I30" s="47"/>
      <c r="J30" s="55">
        <f>J29-SUM(J27:J28)</f>
        <v>0</v>
      </c>
      <c r="K30" s="55">
        <f t="shared" ref="K30:BI30" si="3">K29-SUM(K27:K28)</f>
        <v>0</v>
      </c>
      <c r="L30" s="55">
        <f t="shared" si="3"/>
        <v>0</v>
      </c>
      <c r="M30" s="55">
        <f t="shared" si="3"/>
        <v>-9.9999999996214228E-6</v>
      </c>
      <c r="N30" s="55">
        <f t="shared" si="3"/>
        <v>0</v>
      </c>
      <c r="O30" s="55">
        <f t="shared" si="3"/>
        <v>9.9999999996214228E-6</v>
      </c>
      <c r="P30" s="55">
        <f t="shared" si="3"/>
        <v>0</v>
      </c>
      <c r="Q30" s="55">
        <f t="shared" si="3"/>
        <v>0</v>
      </c>
      <c r="R30" s="55">
        <f t="shared" si="3"/>
        <v>0</v>
      </c>
      <c r="S30" s="55">
        <f t="shared" si="3"/>
        <v>0</v>
      </c>
      <c r="T30" s="55">
        <f t="shared" si="3"/>
        <v>-1.0000000003174137E-5</v>
      </c>
      <c r="U30" s="55">
        <f t="shared" si="3"/>
        <v>0</v>
      </c>
      <c r="V30" s="55">
        <f t="shared" si="3"/>
        <v>-9.9999999996214228E-6</v>
      </c>
      <c r="W30" s="55">
        <f t="shared" si="3"/>
        <v>0</v>
      </c>
      <c r="X30" s="55">
        <f t="shared" si="3"/>
        <v>1.0000000003174137E-5</v>
      </c>
      <c r="Y30" s="55">
        <f t="shared" si="3"/>
        <v>-9.9999999960687092E-6</v>
      </c>
      <c r="Z30" s="55">
        <f t="shared" si="3"/>
        <v>0</v>
      </c>
      <c r="AA30" s="55">
        <f t="shared" si="3"/>
        <v>0</v>
      </c>
      <c r="AB30" s="55">
        <f t="shared" si="3"/>
        <v>0</v>
      </c>
      <c r="AC30" s="55">
        <f t="shared" si="3"/>
        <v>9.9999999960687092E-6</v>
      </c>
      <c r="AD30" s="55">
        <f t="shared" si="3"/>
        <v>0</v>
      </c>
      <c r="AE30" s="55">
        <f t="shared" si="3"/>
        <v>0</v>
      </c>
      <c r="AF30" s="55">
        <f t="shared" si="3"/>
        <v>9.9999999960687092E-6</v>
      </c>
      <c r="AG30" s="55">
        <f t="shared" si="3"/>
        <v>0</v>
      </c>
      <c r="AH30" s="55">
        <f t="shared" si="3"/>
        <v>0</v>
      </c>
      <c r="AI30" s="55">
        <f t="shared" si="3"/>
        <v>0</v>
      </c>
      <c r="AJ30" s="55">
        <f t="shared" si="3"/>
        <v>0</v>
      </c>
      <c r="AK30" s="55">
        <f t="shared" si="3"/>
        <v>0</v>
      </c>
      <c r="AL30" s="55">
        <f t="shared" si="3"/>
        <v>0</v>
      </c>
      <c r="AM30" s="55">
        <f t="shared" si="3"/>
        <v>-1.0000000003174137E-5</v>
      </c>
      <c r="AN30" s="55">
        <f t="shared" si="3"/>
        <v>0</v>
      </c>
      <c r="AO30" s="55">
        <f t="shared" si="3"/>
        <v>0</v>
      </c>
      <c r="AP30" s="55">
        <f t="shared" si="3"/>
        <v>0</v>
      </c>
      <c r="AQ30" s="55">
        <f t="shared" si="3"/>
        <v>0</v>
      </c>
      <c r="AR30" s="55">
        <f t="shared" si="3"/>
        <v>0</v>
      </c>
      <c r="AS30" s="55">
        <f t="shared" si="3"/>
        <v>0</v>
      </c>
      <c r="AT30" s="55">
        <f t="shared" si="3"/>
        <v>0</v>
      </c>
      <c r="AU30" s="55">
        <f t="shared" si="3"/>
        <v>0</v>
      </c>
      <c r="AV30" s="55">
        <f t="shared" si="3"/>
        <v>0</v>
      </c>
      <c r="AW30" s="55">
        <f t="shared" si="3"/>
        <v>-1.0000000003174137E-5</v>
      </c>
      <c r="AX30" s="55">
        <f t="shared" si="3"/>
        <v>0</v>
      </c>
      <c r="AY30" s="55">
        <f t="shared" si="3"/>
        <v>0</v>
      </c>
      <c r="AZ30" s="55">
        <f t="shared" si="3"/>
        <v>0</v>
      </c>
      <c r="BA30" s="55">
        <f t="shared" si="3"/>
        <v>0</v>
      </c>
      <c r="BB30" s="55">
        <f t="shared" si="3"/>
        <v>0</v>
      </c>
      <c r="BC30" s="55">
        <f t="shared" si="3"/>
        <v>0</v>
      </c>
      <c r="BD30" s="55">
        <f t="shared" si="3"/>
        <v>0</v>
      </c>
      <c r="BE30" s="55">
        <f t="shared" si="3"/>
        <v>1.0000000003174137E-5</v>
      </c>
      <c r="BF30" s="55">
        <f t="shared" si="3"/>
        <v>-1.0000000003174137E-5</v>
      </c>
      <c r="BG30" s="55">
        <f t="shared" si="3"/>
        <v>0</v>
      </c>
      <c r="BH30" s="55">
        <f t="shared" si="3"/>
        <v>0</v>
      </c>
      <c r="BI30" s="55">
        <f t="shared" si="3"/>
        <v>0</v>
      </c>
    </row>
    <row r="31" spans="1:63" ht="15" thickTop="1" x14ac:dyDescent="0.3">
      <c r="A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</row>
    <row r="32" spans="1:63" x14ac:dyDescent="0.3">
      <c r="A32" s="47" t="s">
        <v>270</v>
      </c>
      <c r="B32" s="51" t="s">
        <v>456</v>
      </c>
      <c r="C32" s="57" t="s">
        <v>269</v>
      </c>
      <c r="D32" s="47" t="s">
        <v>221</v>
      </c>
      <c r="E32" s="47"/>
      <c r="F32" s="47" t="s">
        <v>295</v>
      </c>
      <c r="G32" s="47" t="s">
        <v>99</v>
      </c>
      <c r="H32" s="47" t="s">
        <v>294</v>
      </c>
      <c r="I32" s="49" t="s">
        <v>498</v>
      </c>
      <c r="J32" s="50">
        <v>0.15168000000000001</v>
      </c>
      <c r="K32" s="50">
        <v>0.15520999999999999</v>
      </c>
      <c r="L32" s="50">
        <v>0.20527999999999999</v>
      </c>
      <c r="M32" s="50">
        <v>0.24435999999999999</v>
      </c>
      <c r="N32" s="50">
        <v>0.30068</v>
      </c>
      <c r="O32" s="50">
        <v>0.40189999999999998</v>
      </c>
      <c r="P32" s="50">
        <v>0.74607999999999997</v>
      </c>
      <c r="Q32" s="50">
        <v>0.96025000000000005</v>
      </c>
      <c r="R32" s="50">
        <v>1.27948</v>
      </c>
      <c r="S32" s="50">
        <v>1.7906500000000001</v>
      </c>
      <c r="T32" s="50">
        <v>2.5390799999999998</v>
      </c>
      <c r="U32" s="50">
        <v>3.5019</v>
      </c>
      <c r="V32" s="50">
        <v>4.6679199999999996</v>
      </c>
      <c r="W32" s="50">
        <v>6.00502</v>
      </c>
      <c r="X32" s="50">
        <v>7.5145200000000001</v>
      </c>
      <c r="Y32" s="50">
        <v>9.1555800000000005</v>
      </c>
      <c r="Z32" s="50">
        <v>10.90089</v>
      </c>
      <c r="AA32" s="50">
        <v>12.69927</v>
      </c>
      <c r="AB32" s="50">
        <v>14.49647</v>
      </c>
      <c r="AC32" s="50">
        <v>16.237539999999999</v>
      </c>
      <c r="AD32" s="50">
        <v>17.90587</v>
      </c>
      <c r="AE32" s="50">
        <v>19.48413</v>
      </c>
      <c r="AF32" s="50">
        <v>20.953749999999999</v>
      </c>
      <c r="AG32" s="50">
        <v>22.295439999999999</v>
      </c>
      <c r="AH32" s="50">
        <v>23.491630000000001</v>
      </c>
      <c r="AI32" s="50">
        <v>24.52919</v>
      </c>
      <c r="AJ32" s="50">
        <v>25.40202</v>
      </c>
      <c r="AK32" s="50">
        <v>26.112079999999999</v>
      </c>
      <c r="AL32" s="50">
        <v>26.668859999999999</v>
      </c>
      <c r="AM32" s="50">
        <v>27.088069999999998</v>
      </c>
      <c r="AN32" s="50">
        <v>27.389710000000001</v>
      </c>
      <c r="AO32" s="50">
        <v>27.596029999999999</v>
      </c>
      <c r="AP32" s="50">
        <v>27.729310000000002</v>
      </c>
      <c r="AQ32" s="50">
        <v>27.810169999999999</v>
      </c>
      <c r="AR32" s="50">
        <v>27.855930000000001</v>
      </c>
      <c r="AS32" s="50">
        <v>27.879950000000001</v>
      </c>
      <c r="AT32" s="50">
        <v>27.891580000000001</v>
      </c>
      <c r="AU32" s="50">
        <v>27.89676</v>
      </c>
      <c r="AV32" s="50">
        <v>27.898849999999999</v>
      </c>
      <c r="AW32" s="50">
        <v>27.899640000000002</v>
      </c>
      <c r="AX32" s="50">
        <v>27.899889999999999</v>
      </c>
      <c r="AY32" s="50">
        <v>27.89997</v>
      </c>
      <c r="AZ32" s="50">
        <v>27.9</v>
      </c>
      <c r="BA32" s="50">
        <v>27.9</v>
      </c>
      <c r="BB32" s="50">
        <v>27.9</v>
      </c>
      <c r="BC32" s="50">
        <v>27.9</v>
      </c>
      <c r="BD32" s="50">
        <v>27.9</v>
      </c>
      <c r="BE32" s="50">
        <v>27.9</v>
      </c>
      <c r="BF32" s="50">
        <v>27.9</v>
      </c>
      <c r="BG32" s="50">
        <v>27.9</v>
      </c>
      <c r="BH32" s="50">
        <v>27.9</v>
      </c>
      <c r="BI32" s="50">
        <v>27.9</v>
      </c>
      <c r="BJ32" t="e">
        <v>#N/A</v>
      </c>
      <c r="BK32" t="b">
        <v>1</v>
      </c>
    </row>
    <row r="33" spans="1:63" x14ac:dyDescent="0.3">
      <c r="A33" s="47" t="s">
        <v>270</v>
      </c>
      <c r="B33" s="51" t="s">
        <v>456</v>
      </c>
      <c r="C33" s="57" t="s">
        <v>269</v>
      </c>
      <c r="D33" s="47" t="s">
        <v>221</v>
      </c>
      <c r="E33" s="47"/>
      <c r="F33" s="47" t="s">
        <v>293</v>
      </c>
      <c r="G33" s="47" t="s">
        <v>99</v>
      </c>
      <c r="H33" s="47" t="s">
        <v>292</v>
      </c>
      <c r="I33" s="49" t="s">
        <v>498</v>
      </c>
      <c r="J33" s="50">
        <v>1.5180000000000001E-2</v>
      </c>
      <c r="K33" s="50">
        <v>1.3100000000000001E-2</v>
      </c>
      <c r="L33" s="50">
        <v>1.5800000000000002E-2</v>
      </c>
      <c r="M33" s="50">
        <v>1.6740000000000001E-2</v>
      </c>
      <c r="N33" s="50">
        <v>1.6590000000000001E-2</v>
      </c>
      <c r="O33" s="50">
        <v>6.2700000000000006E-2</v>
      </c>
      <c r="P33" s="50">
        <v>0.34061000000000002</v>
      </c>
      <c r="Q33" s="50">
        <v>0.42521999999999999</v>
      </c>
      <c r="R33" s="50">
        <v>0.53585000000000005</v>
      </c>
      <c r="S33" s="50">
        <v>0.68542999999999998</v>
      </c>
      <c r="T33" s="50">
        <v>0.88475000000000004</v>
      </c>
      <c r="U33" s="50">
        <v>1.1502399999999999</v>
      </c>
      <c r="V33" s="50">
        <v>1.47251</v>
      </c>
      <c r="W33" s="50">
        <v>1.8373200000000001</v>
      </c>
      <c r="X33" s="50">
        <v>2.40103</v>
      </c>
      <c r="Y33" s="50">
        <v>3.0800700000000001</v>
      </c>
      <c r="Z33" s="50">
        <v>3.9210699999999998</v>
      </c>
      <c r="AA33" s="50">
        <v>4.9190300000000002</v>
      </c>
      <c r="AB33" s="50">
        <v>5.9950000000000001</v>
      </c>
      <c r="AC33" s="50">
        <v>7.1295400000000004</v>
      </c>
      <c r="AD33" s="50">
        <v>8.3203600000000009</v>
      </c>
      <c r="AE33" s="50">
        <v>9.5664499999999997</v>
      </c>
      <c r="AF33" s="50">
        <v>10.90376</v>
      </c>
      <c r="AG33" s="50">
        <v>12.30166</v>
      </c>
      <c r="AH33" s="50">
        <v>13.71185</v>
      </c>
      <c r="AI33" s="50">
        <v>15.04574</v>
      </c>
      <c r="AJ33" s="50">
        <v>16.19688</v>
      </c>
      <c r="AK33" s="50">
        <v>17.135629999999999</v>
      </c>
      <c r="AL33" s="50">
        <v>17.778199999999998</v>
      </c>
      <c r="AM33" s="50">
        <v>18.151990000000001</v>
      </c>
      <c r="AN33" s="50">
        <v>18.31392</v>
      </c>
      <c r="AO33" s="50">
        <v>18.324819999999999</v>
      </c>
      <c r="AP33" s="50">
        <v>18.265219999999999</v>
      </c>
      <c r="AQ33" s="50">
        <v>18.204070000000002</v>
      </c>
      <c r="AR33" s="50">
        <v>18.141390000000001</v>
      </c>
      <c r="AS33" s="50">
        <v>18.077190000000002</v>
      </c>
      <c r="AT33" s="50">
        <v>18.011479999999999</v>
      </c>
      <c r="AU33" s="50">
        <v>17.901029999999999</v>
      </c>
      <c r="AV33" s="50">
        <v>17.789380000000001</v>
      </c>
      <c r="AW33" s="50">
        <v>17.676549999999999</v>
      </c>
      <c r="AX33" s="50">
        <v>17.5626</v>
      </c>
      <c r="AY33" s="50">
        <v>17.44754</v>
      </c>
      <c r="AZ33" s="50">
        <v>17.46454</v>
      </c>
      <c r="BA33" s="50">
        <v>17.48076</v>
      </c>
      <c r="BB33" s="50">
        <v>17.496200000000002</v>
      </c>
      <c r="BC33" s="50">
        <v>17.51089</v>
      </c>
      <c r="BD33" s="50">
        <v>17.524850000000001</v>
      </c>
      <c r="BE33" s="50">
        <v>17.486940000000001</v>
      </c>
      <c r="BF33" s="50">
        <v>17.44914</v>
      </c>
      <c r="BG33" s="50">
        <v>17.411429999999999</v>
      </c>
      <c r="BH33" s="50">
        <v>17.373830000000002</v>
      </c>
      <c r="BI33" s="50">
        <v>17.336320000000001</v>
      </c>
      <c r="BJ33" t="e">
        <v>#N/A</v>
      </c>
      <c r="BK33" t="b">
        <v>1</v>
      </c>
    </row>
    <row r="34" spans="1:63" x14ac:dyDescent="0.3">
      <c r="A34" s="47" t="s">
        <v>270</v>
      </c>
      <c r="B34" s="51" t="s">
        <v>456</v>
      </c>
      <c r="C34" s="57" t="s">
        <v>269</v>
      </c>
      <c r="D34" s="47" t="s">
        <v>221</v>
      </c>
      <c r="E34" s="47"/>
      <c r="F34" s="47" t="s">
        <v>291</v>
      </c>
      <c r="G34" s="47" t="s">
        <v>99</v>
      </c>
      <c r="H34" s="47" t="s">
        <v>290</v>
      </c>
      <c r="I34" s="49" t="s">
        <v>498</v>
      </c>
      <c r="J34" s="50">
        <v>1.0983799999999999</v>
      </c>
      <c r="K34" s="50">
        <v>1.01328</v>
      </c>
      <c r="L34" s="50">
        <v>1.1573100000000001</v>
      </c>
      <c r="M34" s="50">
        <v>1.14042</v>
      </c>
      <c r="N34" s="50">
        <v>0.98004000000000002</v>
      </c>
      <c r="O34" s="50">
        <v>1.0508500000000001</v>
      </c>
      <c r="P34" s="50">
        <v>1.05833</v>
      </c>
      <c r="Q34" s="50">
        <v>1.0562199999999999</v>
      </c>
      <c r="R34" s="50">
        <v>1.0525599999999999</v>
      </c>
      <c r="S34" s="50">
        <v>1.11198</v>
      </c>
      <c r="T34" s="50">
        <v>1.14794</v>
      </c>
      <c r="U34" s="50">
        <v>1.18187</v>
      </c>
      <c r="V34" s="50">
        <v>1.2155199999999999</v>
      </c>
      <c r="W34" s="50">
        <v>1.2474000000000001</v>
      </c>
      <c r="X34" s="50">
        <v>1.27769</v>
      </c>
      <c r="Y34" s="50">
        <v>1.30661</v>
      </c>
      <c r="Z34" s="50">
        <v>1.3344199999999999</v>
      </c>
      <c r="AA34" s="50">
        <v>1.36141</v>
      </c>
      <c r="AB34" s="50">
        <v>1.3878600000000001</v>
      </c>
      <c r="AC34" s="50">
        <v>1.4140200000000001</v>
      </c>
      <c r="AD34" s="50">
        <v>1.44008</v>
      </c>
      <c r="AE34" s="50">
        <v>1.4661999999999999</v>
      </c>
      <c r="AF34" s="50">
        <v>1.496</v>
      </c>
      <c r="AG34" s="50">
        <v>1.5261199999999999</v>
      </c>
      <c r="AH34" s="50">
        <v>1.5565199999999999</v>
      </c>
      <c r="AI34" s="50">
        <v>1.5871299999999999</v>
      </c>
      <c r="AJ34" s="50">
        <v>1.6178600000000001</v>
      </c>
      <c r="AK34" s="50">
        <v>1.6486000000000001</v>
      </c>
      <c r="AL34" s="50">
        <v>1.6792499999999999</v>
      </c>
      <c r="AM34" s="50">
        <v>1.7097100000000001</v>
      </c>
      <c r="AN34" s="50">
        <v>1.7399199999999999</v>
      </c>
      <c r="AO34" s="50">
        <v>1.7693000000000001</v>
      </c>
      <c r="AP34" s="50">
        <v>1.8067899999999999</v>
      </c>
      <c r="AQ34" s="50">
        <v>1.84413</v>
      </c>
      <c r="AR34" s="50">
        <v>1.8813299999999999</v>
      </c>
      <c r="AS34" s="50">
        <v>1.91838</v>
      </c>
      <c r="AT34" s="50">
        <v>1.95418</v>
      </c>
      <c r="AU34" s="50">
        <v>1.98356</v>
      </c>
      <c r="AV34" s="50">
        <v>2.0124300000000002</v>
      </c>
      <c r="AW34" s="50">
        <v>2.0406200000000001</v>
      </c>
      <c r="AX34" s="50">
        <v>2.06793</v>
      </c>
      <c r="AY34" s="50">
        <v>2.0941000000000001</v>
      </c>
      <c r="AZ34" s="50">
        <v>2.0858300000000001</v>
      </c>
      <c r="BA34" s="50">
        <v>2.07612</v>
      </c>
      <c r="BB34" s="50">
        <v>2.0647500000000001</v>
      </c>
      <c r="BC34" s="50">
        <v>2.0514999999999999</v>
      </c>
      <c r="BD34" s="50">
        <v>2.0362499999999999</v>
      </c>
      <c r="BE34" s="50">
        <v>2.0189400000000002</v>
      </c>
      <c r="BF34" s="50">
        <v>1.9996700000000001</v>
      </c>
      <c r="BG34" s="50">
        <v>1.97862</v>
      </c>
      <c r="BH34" s="50">
        <v>1.9561200000000001</v>
      </c>
      <c r="BI34" s="50">
        <v>1.93262</v>
      </c>
      <c r="BJ34" t="e">
        <v>#N/A</v>
      </c>
      <c r="BK34" t="b">
        <v>1</v>
      </c>
    </row>
    <row r="35" spans="1:63" ht="15" thickBot="1" x14ac:dyDescent="0.35">
      <c r="A35" s="47" t="s">
        <v>270</v>
      </c>
      <c r="B35" s="48" t="s">
        <v>429</v>
      </c>
      <c r="C35" s="57" t="s">
        <v>399</v>
      </c>
      <c r="D35" s="47" t="s">
        <v>221</v>
      </c>
      <c r="E35" s="52"/>
      <c r="F35" s="52" t="s">
        <v>201</v>
      </c>
      <c r="G35" s="47" t="s">
        <v>99</v>
      </c>
      <c r="H35" s="47" t="s">
        <v>289</v>
      </c>
      <c r="I35" s="49" t="s">
        <v>498</v>
      </c>
      <c r="J35" s="50">
        <v>1.2652399999999999</v>
      </c>
      <c r="K35" s="50">
        <v>1.1815899999999999</v>
      </c>
      <c r="L35" s="50">
        <v>1.37839</v>
      </c>
      <c r="M35" s="50">
        <v>1.4015200000000001</v>
      </c>
      <c r="N35" s="50">
        <v>1.29731</v>
      </c>
      <c r="O35" s="50">
        <v>1.51545</v>
      </c>
      <c r="P35" s="50">
        <v>2.1450200000000001</v>
      </c>
      <c r="Q35" s="50">
        <v>2.4417</v>
      </c>
      <c r="R35" s="50">
        <v>2.8678900000000001</v>
      </c>
      <c r="S35" s="50">
        <v>3.5880700000000001</v>
      </c>
      <c r="T35" s="50">
        <v>4.5717699999999999</v>
      </c>
      <c r="U35" s="50">
        <v>5.8340100000000001</v>
      </c>
      <c r="V35" s="50">
        <v>7.3559400000000004</v>
      </c>
      <c r="W35" s="50">
        <v>9.0897400000000008</v>
      </c>
      <c r="X35" s="50">
        <v>11.193239999999999</v>
      </c>
      <c r="Y35" s="50">
        <v>13.542260000000001</v>
      </c>
      <c r="Z35" s="50">
        <v>16.156379999999999</v>
      </c>
      <c r="AA35" s="50">
        <v>18.97972</v>
      </c>
      <c r="AB35" s="50">
        <v>21.87932</v>
      </c>
      <c r="AC35" s="50">
        <v>24.781099999999999</v>
      </c>
      <c r="AD35" s="50">
        <v>27.666309999999999</v>
      </c>
      <c r="AE35" s="50">
        <v>30.516780000000001</v>
      </c>
      <c r="AF35" s="50">
        <v>33.35351</v>
      </c>
      <c r="AG35" s="50">
        <v>36.123220000000003</v>
      </c>
      <c r="AH35" s="50">
        <v>38.759990000000002</v>
      </c>
      <c r="AI35" s="50">
        <v>41.16207</v>
      </c>
      <c r="AJ35" s="50">
        <v>43.216760000000001</v>
      </c>
      <c r="AK35" s="50">
        <v>44.89631</v>
      </c>
      <c r="AL35" s="50">
        <v>46.126309999999997</v>
      </c>
      <c r="AM35" s="50">
        <v>46.949770000000001</v>
      </c>
      <c r="AN35" s="50">
        <v>47.443539999999999</v>
      </c>
      <c r="AO35" s="50">
        <v>47.690150000000003</v>
      </c>
      <c r="AP35" s="50">
        <v>47.801310000000001</v>
      </c>
      <c r="AQ35" s="50">
        <v>47.858370000000001</v>
      </c>
      <c r="AR35" s="50">
        <v>47.878639999999997</v>
      </c>
      <c r="AS35" s="50">
        <v>47.875520000000002</v>
      </c>
      <c r="AT35" s="50">
        <v>47.857239999999997</v>
      </c>
      <c r="AU35" s="50">
        <v>47.78134</v>
      </c>
      <c r="AV35" s="50">
        <v>47.700659999999999</v>
      </c>
      <c r="AW35" s="50">
        <v>47.616810000000001</v>
      </c>
      <c r="AX35" s="50">
        <v>47.530419999999999</v>
      </c>
      <c r="AY35" s="50">
        <v>47.44162</v>
      </c>
      <c r="AZ35" s="50">
        <v>47.450369999999999</v>
      </c>
      <c r="BA35" s="50">
        <v>47.456879999999998</v>
      </c>
      <c r="BB35" s="50">
        <v>47.460949999999997</v>
      </c>
      <c r="BC35" s="50">
        <v>47.462389999999999</v>
      </c>
      <c r="BD35" s="50">
        <v>47.461089999999999</v>
      </c>
      <c r="BE35" s="50">
        <v>47.405880000000003</v>
      </c>
      <c r="BF35" s="50">
        <v>47.348799999999997</v>
      </c>
      <c r="BG35" s="50">
        <v>47.290050000000001</v>
      </c>
      <c r="BH35" s="50">
        <v>47.229950000000002</v>
      </c>
      <c r="BI35" s="50">
        <v>47.168939999999999</v>
      </c>
      <c r="BJ35" t="s">
        <v>509</v>
      </c>
    </row>
    <row r="36" spans="1:63" ht="15.6" thickTop="1" thickBot="1" x14ac:dyDescent="0.35">
      <c r="A36" s="47" t="s">
        <v>270</v>
      </c>
      <c r="B36" s="51" t="s">
        <v>456</v>
      </c>
      <c r="C36" s="57" t="s">
        <v>269</v>
      </c>
      <c r="D36" s="47" t="s">
        <v>221</v>
      </c>
      <c r="E36" s="52"/>
      <c r="F36" s="52" t="s">
        <v>197</v>
      </c>
      <c r="G36" s="47" t="s">
        <v>99</v>
      </c>
      <c r="H36" s="47"/>
      <c r="I36" s="47"/>
      <c r="J36" s="55">
        <f>J35-SUM(J32:J34)</f>
        <v>0</v>
      </c>
      <c r="K36" s="55">
        <f t="shared" ref="K36:BI36" si="4">K35-SUM(K32:K34)</f>
        <v>0</v>
      </c>
      <c r="L36" s="55">
        <f t="shared" si="4"/>
        <v>0</v>
      </c>
      <c r="M36" s="55">
        <f t="shared" si="4"/>
        <v>0</v>
      </c>
      <c r="N36" s="55">
        <f t="shared" si="4"/>
        <v>0</v>
      </c>
      <c r="O36" s="55">
        <f t="shared" si="4"/>
        <v>0</v>
      </c>
      <c r="P36" s="55">
        <f t="shared" si="4"/>
        <v>0</v>
      </c>
      <c r="Q36" s="55">
        <f t="shared" si="4"/>
        <v>1.0000000000065512E-5</v>
      </c>
      <c r="R36" s="55">
        <f t="shared" si="4"/>
        <v>0</v>
      </c>
      <c r="S36" s="55">
        <f t="shared" si="4"/>
        <v>1.0000000000065512E-5</v>
      </c>
      <c r="T36" s="55">
        <f t="shared" si="4"/>
        <v>0</v>
      </c>
      <c r="U36" s="55">
        <f t="shared" si="4"/>
        <v>0</v>
      </c>
      <c r="V36" s="55">
        <f t="shared" si="4"/>
        <v>-9.9999999987332444E-6</v>
      </c>
      <c r="W36" s="55">
        <f t="shared" si="4"/>
        <v>0</v>
      </c>
      <c r="X36" s="55">
        <f t="shared" si="4"/>
        <v>0</v>
      </c>
      <c r="Y36" s="55">
        <f t="shared" si="4"/>
        <v>0</v>
      </c>
      <c r="Z36" s="55">
        <f t="shared" si="4"/>
        <v>0</v>
      </c>
      <c r="AA36" s="55">
        <f t="shared" si="4"/>
        <v>9.9999999996214228E-6</v>
      </c>
      <c r="AB36" s="55">
        <f t="shared" si="4"/>
        <v>-9.9999999996214228E-6</v>
      </c>
      <c r="AC36" s="55">
        <f t="shared" si="4"/>
        <v>0</v>
      </c>
      <c r="AD36" s="55">
        <f t="shared" si="4"/>
        <v>0</v>
      </c>
      <c r="AE36" s="55">
        <f t="shared" si="4"/>
        <v>0</v>
      </c>
      <c r="AF36" s="55">
        <f t="shared" si="4"/>
        <v>0</v>
      </c>
      <c r="AG36" s="55">
        <f t="shared" si="4"/>
        <v>0</v>
      </c>
      <c r="AH36" s="55">
        <f t="shared" si="4"/>
        <v>-9.9999999960687092E-6</v>
      </c>
      <c r="AI36" s="55">
        <f t="shared" si="4"/>
        <v>9.9999999960687092E-6</v>
      </c>
      <c r="AJ36" s="55">
        <f t="shared" si="4"/>
        <v>0</v>
      </c>
      <c r="AK36" s="55">
        <f t="shared" si="4"/>
        <v>0</v>
      </c>
      <c r="AL36" s="55">
        <f t="shared" si="4"/>
        <v>0</v>
      </c>
      <c r="AM36" s="55">
        <f t="shared" si="4"/>
        <v>0</v>
      </c>
      <c r="AN36" s="55">
        <f t="shared" si="4"/>
        <v>-1.0000000003174137E-5</v>
      </c>
      <c r="AO36" s="55">
        <f t="shared" si="4"/>
        <v>0</v>
      </c>
      <c r="AP36" s="55">
        <f t="shared" si="4"/>
        <v>-9.9999999960687092E-6</v>
      </c>
      <c r="AQ36" s="55">
        <f t="shared" si="4"/>
        <v>0</v>
      </c>
      <c r="AR36" s="55">
        <f t="shared" si="4"/>
        <v>-1.0000000003174137E-5</v>
      </c>
      <c r="AS36" s="55">
        <f t="shared" si="4"/>
        <v>0</v>
      </c>
      <c r="AT36" s="55">
        <f t="shared" si="4"/>
        <v>0</v>
      </c>
      <c r="AU36" s="55">
        <f t="shared" si="4"/>
        <v>-9.9999999960687092E-6</v>
      </c>
      <c r="AV36" s="55">
        <f t="shared" si="4"/>
        <v>0</v>
      </c>
      <c r="AW36" s="55">
        <f t="shared" si="4"/>
        <v>0</v>
      </c>
      <c r="AX36" s="55">
        <f t="shared" si="4"/>
        <v>0</v>
      </c>
      <c r="AY36" s="55">
        <f t="shared" si="4"/>
        <v>1.0000000003174137E-5</v>
      </c>
      <c r="AZ36" s="55">
        <f t="shared" si="4"/>
        <v>0</v>
      </c>
      <c r="BA36" s="55">
        <f t="shared" si="4"/>
        <v>0</v>
      </c>
      <c r="BB36" s="55">
        <f t="shared" si="4"/>
        <v>0</v>
      </c>
      <c r="BC36" s="55">
        <f t="shared" si="4"/>
        <v>0</v>
      </c>
      <c r="BD36" s="55">
        <f t="shared" si="4"/>
        <v>-1.0000000003174137E-5</v>
      </c>
      <c r="BE36" s="55">
        <f t="shared" si="4"/>
        <v>0</v>
      </c>
      <c r="BF36" s="55">
        <f t="shared" si="4"/>
        <v>-1.0000000003174137E-5</v>
      </c>
      <c r="BG36" s="55">
        <f t="shared" si="4"/>
        <v>0</v>
      </c>
      <c r="BH36" s="55">
        <f t="shared" si="4"/>
        <v>0</v>
      </c>
      <c r="BI36" s="55">
        <f t="shared" si="4"/>
        <v>0</v>
      </c>
    </row>
    <row r="37" spans="1:63" ht="15" thickTop="1" x14ac:dyDescent="0.3">
      <c r="A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</row>
    <row r="38" spans="1:63" x14ac:dyDescent="0.3">
      <c r="A38" s="47" t="s">
        <v>270</v>
      </c>
      <c r="B38" s="48" t="s">
        <v>429</v>
      </c>
      <c r="C38" s="57" t="s">
        <v>400</v>
      </c>
      <c r="D38" s="47" t="s">
        <v>215</v>
      </c>
      <c r="E38" s="47"/>
      <c r="F38" s="47" t="s">
        <v>288</v>
      </c>
      <c r="G38" s="47" t="s">
        <v>99</v>
      </c>
      <c r="H38" s="47" t="s">
        <v>287</v>
      </c>
      <c r="I38" s="49" t="s">
        <v>618</v>
      </c>
      <c r="J38" s="50">
        <v>8.4794199999999993</v>
      </c>
      <c r="K38" s="50">
        <v>8.0794899999999998</v>
      </c>
      <c r="L38" s="50">
        <v>7.6499499999999996</v>
      </c>
      <c r="M38" s="50">
        <v>7.8896199999999999</v>
      </c>
      <c r="N38" s="50">
        <v>7.1474599999999997</v>
      </c>
      <c r="O38" s="50">
        <v>7.1474599999999997</v>
      </c>
      <c r="P38" s="50">
        <v>7.8946500000000004</v>
      </c>
      <c r="Q38" s="50">
        <v>8.0192099999999993</v>
      </c>
      <c r="R38" s="50">
        <v>8.1631199999999993</v>
      </c>
      <c r="S38" s="50">
        <v>8.3248300000000004</v>
      </c>
      <c r="T38" s="50">
        <v>8.5025499999999994</v>
      </c>
      <c r="U38" s="50">
        <v>8.69435</v>
      </c>
      <c r="V38" s="50">
        <v>8.8981100000000009</v>
      </c>
      <c r="W38" s="50">
        <v>9.1116100000000007</v>
      </c>
      <c r="X38" s="50">
        <v>9.3324999999999996</v>
      </c>
      <c r="Y38" s="50">
        <v>9.5583799999999997</v>
      </c>
      <c r="Z38" s="50">
        <v>9.7867499999999996</v>
      </c>
      <c r="AA38" s="50">
        <v>10.01512</v>
      </c>
      <c r="AB38" s="50">
        <v>10.241</v>
      </c>
      <c r="AC38" s="50">
        <v>10.46189</v>
      </c>
      <c r="AD38" s="50">
        <v>10.67539</v>
      </c>
      <c r="AE38" s="50">
        <v>10.879149999999999</v>
      </c>
      <c r="AF38" s="50">
        <v>11.07094</v>
      </c>
      <c r="AG38" s="50">
        <v>11.248670000000001</v>
      </c>
      <c r="AH38" s="50">
        <v>11.41037</v>
      </c>
      <c r="AI38" s="50">
        <v>11.55429</v>
      </c>
      <c r="AJ38" s="50">
        <v>11.678839999999999</v>
      </c>
      <c r="AK38" s="50">
        <v>11.78267</v>
      </c>
      <c r="AL38" s="50">
        <v>11.86462</v>
      </c>
      <c r="AM38" s="50">
        <v>11.92381</v>
      </c>
      <c r="AN38" s="50">
        <v>11.959580000000001</v>
      </c>
      <c r="AO38" s="50">
        <v>11.971550000000001</v>
      </c>
      <c r="AP38" s="50">
        <v>11.974539999999999</v>
      </c>
      <c r="AQ38" s="50">
        <v>11.98343</v>
      </c>
      <c r="AR38" s="50">
        <v>11.998010000000001</v>
      </c>
      <c r="AS38" s="50">
        <v>12.017910000000001</v>
      </c>
      <c r="AT38" s="50">
        <v>12.04265</v>
      </c>
      <c r="AU38" s="50">
        <v>12.071619999999999</v>
      </c>
      <c r="AV38" s="50">
        <v>12.104100000000001</v>
      </c>
      <c r="AW38" s="50">
        <v>12.139290000000001</v>
      </c>
      <c r="AX38" s="50">
        <v>12.17633</v>
      </c>
      <c r="AY38" s="50">
        <v>12.214309999999999</v>
      </c>
      <c r="AZ38" s="50">
        <v>12.252280000000001</v>
      </c>
      <c r="BA38" s="50">
        <v>12.28932</v>
      </c>
      <c r="BB38" s="50">
        <v>12.32452</v>
      </c>
      <c r="BC38" s="50">
        <v>12.356999999999999</v>
      </c>
      <c r="BD38" s="50">
        <v>12.385960000000001</v>
      </c>
      <c r="BE38" s="50">
        <v>12.4107</v>
      </c>
      <c r="BF38" s="50">
        <v>12.43061</v>
      </c>
      <c r="BG38" s="50">
        <v>12.445180000000001</v>
      </c>
      <c r="BH38" s="50">
        <v>12.454079999999999</v>
      </c>
      <c r="BI38" s="50">
        <v>12.45706</v>
      </c>
      <c r="BJ38" t="e">
        <v>#N/A</v>
      </c>
      <c r="BK38" t="b">
        <v>1</v>
      </c>
    </row>
    <row r="39" spans="1:63" x14ac:dyDescent="0.3">
      <c r="A39" s="47" t="s">
        <v>270</v>
      </c>
      <c r="B39" s="48" t="s">
        <v>429</v>
      </c>
      <c r="C39" s="57" t="s">
        <v>401</v>
      </c>
      <c r="D39" s="47" t="s">
        <v>286</v>
      </c>
      <c r="E39" s="47" t="s">
        <v>285</v>
      </c>
      <c r="F39" s="47" t="s">
        <v>284</v>
      </c>
      <c r="G39" s="47" t="s">
        <v>99</v>
      </c>
      <c r="H39" s="47" t="s">
        <v>283</v>
      </c>
      <c r="I39" s="49" t="s">
        <v>499</v>
      </c>
      <c r="J39" s="50">
        <v>111.6186</v>
      </c>
      <c r="K39" s="50">
        <v>101.63997000000001</v>
      </c>
      <c r="L39" s="50">
        <v>107.66191999999999</v>
      </c>
      <c r="M39" s="50">
        <v>104.69555</v>
      </c>
      <c r="N39" s="50">
        <v>102.81144</v>
      </c>
      <c r="O39" s="50">
        <v>101.68124</v>
      </c>
      <c r="P39" s="50">
        <v>102.20269</v>
      </c>
      <c r="Q39" s="50">
        <v>103.11651999999999</v>
      </c>
      <c r="R39" s="50">
        <v>104.56323999999999</v>
      </c>
      <c r="S39" s="50">
        <v>106.34312</v>
      </c>
      <c r="T39" s="50">
        <v>108.05253</v>
      </c>
      <c r="U39" s="50">
        <v>109.46302</v>
      </c>
      <c r="V39" s="50">
        <v>110.74475</v>
      </c>
      <c r="W39" s="50">
        <v>111.86779</v>
      </c>
      <c r="X39" s="50">
        <v>112.92386999999999</v>
      </c>
      <c r="Y39" s="50">
        <v>113.99316</v>
      </c>
      <c r="Z39" s="50">
        <v>114.07532</v>
      </c>
      <c r="AA39" s="50">
        <v>114.69562000000001</v>
      </c>
      <c r="AB39" s="50">
        <v>115.34976</v>
      </c>
      <c r="AC39" s="50">
        <v>115.68589</v>
      </c>
      <c r="AD39" s="50">
        <v>115.82046</v>
      </c>
      <c r="AE39" s="50">
        <v>112.69467</v>
      </c>
      <c r="AF39" s="50">
        <v>113.26553</v>
      </c>
      <c r="AG39" s="50">
        <v>113.36708</v>
      </c>
      <c r="AH39" s="50">
        <v>114.39086</v>
      </c>
      <c r="AI39" s="50">
        <v>114.52518000000001</v>
      </c>
      <c r="AJ39" s="50">
        <v>115.20246</v>
      </c>
      <c r="AK39" s="50">
        <v>115.6797</v>
      </c>
      <c r="AL39" s="50">
        <v>116.23296999999999</v>
      </c>
      <c r="AM39" s="50">
        <v>116.65812</v>
      </c>
      <c r="AN39" s="50">
        <v>116.71588</v>
      </c>
      <c r="AO39" s="50">
        <v>116.83425</v>
      </c>
      <c r="AP39" s="50">
        <v>116.24858999999999</v>
      </c>
      <c r="AQ39" s="50">
        <v>115.87599</v>
      </c>
      <c r="AR39" s="50">
        <v>114.84787</v>
      </c>
      <c r="AS39" s="50">
        <v>114.6957</v>
      </c>
      <c r="AT39" s="50">
        <v>114.60026999999999</v>
      </c>
      <c r="AU39" s="50">
        <v>114.09647</v>
      </c>
      <c r="AV39" s="50">
        <v>113.83748</v>
      </c>
      <c r="AW39" s="50">
        <v>114.01311</v>
      </c>
      <c r="AX39" s="50">
        <v>114.10024</v>
      </c>
      <c r="AY39" s="50">
        <v>113.93828000000001</v>
      </c>
      <c r="AZ39" s="50">
        <v>114.53557000000001</v>
      </c>
      <c r="BA39" s="50">
        <v>114.11485</v>
      </c>
      <c r="BB39" s="50">
        <v>114.22638000000001</v>
      </c>
      <c r="BC39" s="50">
        <v>113.15087</v>
      </c>
      <c r="BD39" s="50">
        <v>113.63445</v>
      </c>
      <c r="BE39" s="50">
        <v>112.95177</v>
      </c>
      <c r="BF39" s="50">
        <v>112.96351</v>
      </c>
      <c r="BG39" s="50">
        <v>112.27905</v>
      </c>
      <c r="BH39" s="50">
        <v>112.59247000000001</v>
      </c>
      <c r="BI39" s="50">
        <v>112.07422</v>
      </c>
      <c r="BJ39" t="s">
        <v>510</v>
      </c>
      <c r="BK39" t="b">
        <v>1</v>
      </c>
    </row>
    <row r="40" spans="1:63" x14ac:dyDescent="0.3">
      <c r="A40" s="47" t="s">
        <v>270</v>
      </c>
      <c r="B40" s="59" t="s">
        <v>484</v>
      </c>
      <c r="C40" s="57" t="s">
        <v>269</v>
      </c>
      <c r="D40" s="47" t="s">
        <v>180</v>
      </c>
      <c r="E40" s="47"/>
      <c r="F40" s="47" t="s">
        <v>282</v>
      </c>
      <c r="G40" s="47" t="s">
        <v>99</v>
      </c>
      <c r="H40" s="47" t="s">
        <v>281</v>
      </c>
      <c r="I40" s="49" t="s">
        <v>500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  <c r="Q40" s="50">
        <v>1.5384</v>
      </c>
      <c r="R40" s="50">
        <v>3.1536</v>
      </c>
      <c r="S40" s="50">
        <v>4.7304000000000004</v>
      </c>
      <c r="T40" s="50">
        <v>6.3071999999999999</v>
      </c>
      <c r="U40" s="50">
        <v>7.8840000000000003</v>
      </c>
      <c r="V40" s="50">
        <v>10.3368</v>
      </c>
      <c r="W40" s="50">
        <v>12.7021</v>
      </c>
      <c r="X40" s="50">
        <v>14.9796</v>
      </c>
      <c r="Y40" s="50">
        <v>17.169699999999999</v>
      </c>
      <c r="Z40" s="50">
        <v>19.271899999999999</v>
      </c>
      <c r="AA40" s="50">
        <v>24.597899999999999</v>
      </c>
      <c r="AB40" s="50">
        <v>29.713799999999999</v>
      </c>
      <c r="AC40" s="50">
        <v>34.619700000000002</v>
      </c>
      <c r="AD40" s="50">
        <v>39.315100000000001</v>
      </c>
      <c r="AE40" s="50">
        <v>43.800199999999997</v>
      </c>
      <c r="AF40" s="50">
        <v>49.792000000000002</v>
      </c>
      <c r="AG40" s="50">
        <v>55.503500000000003</v>
      </c>
      <c r="AH40" s="50">
        <v>60.934100000000001</v>
      </c>
      <c r="AI40" s="50">
        <v>66.084999999999994</v>
      </c>
      <c r="AJ40" s="50">
        <v>70.9559</v>
      </c>
      <c r="AK40" s="50">
        <v>77.859399999999994</v>
      </c>
      <c r="AL40" s="50">
        <v>84.376599999999996</v>
      </c>
      <c r="AM40" s="50">
        <v>90.508700000000005</v>
      </c>
      <c r="AN40" s="50">
        <v>96.254400000000004</v>
      </c>
      <c r="AO40" s="50">
        <v>101.6156</v>
      </c>
      <c r="AP40" s="50">
        <v>102.6677</v>
      </c>
      <c r="AQ40" s="50">
        <v>103.71850000000001</v>
      </c>
      <c r="AR40" s="50">
        <v>104.7692</v>
      </c>
      <c r="AS40" s="50">
        <v>105.8214</v>
      </c>
      <c r="AT40" s="50">
        <v>106.872</v>
      </c>
      <c r="AU40" s="50">
        <v>107.92359999999999</v>
      </c>
      <c r="AV40" s="50">
        <v>108.97490000000001</v>
      </c>
      <c r="AW40" s="50">
        <v>110.02589999999999</v>
      </c>
      <c r="AX40" s="50">
        <v>111.0763</v>
      </c>
      <c r="AY40" s="50">
        <v>112.1276</v>
      </c>
      <c r="AZ40" s="50">
        <v>112.8291</v>
      </c>
      <c r="BA40" s="50">
        <v>113.52930000000001</v>
      </c>
      <c r="BB40" s="50">
        <v>114.23050000000001</v>
      </c>
      <c r="BC40" s="50">
        <v>114.93129999999999</v>
      </c>
      <c r="BD40" s="50">
        <v>115.63209999999999</v>
      </c>
      <c r="BE40" s="50">
        <v>116.3323</v>
      </c>
      <c r="BF40" s="50">
        <v>117.033</v>
      </c>
      <c r="BG40" s="50">
        <v>117.7347</v>
      </c>
      <c r="BH40" s="50">
        <v>118.4344</v>
      </c>
      <c r="BI40" s="50">
        <v>119.1367</v>
      </c>
      <c r="BJ40" t="e">
        <v>#N/A</v>
      </c>
      <c r="BK40" t="b">
        <v>1</v>
      </c>
    </row>
    <row r="41" spans="1:63" x14ac:dyDescent="0.3">
      <c r="A41" s="47" t="s">
        <v>270</v>
      </c>
      <c r="B41" s="48" t="s">
        <v>429</v>
      </c>
      <c r="C41" s="57" t="s">
        <v>402</v>
      </c>
      <c r="D41" s="47" t="s">
        <v>278</v>
      </c>
      <c r="E41" s="47"/>
      <c r="F41" s="47" t="s">
        <v>280</v>
      </c>
      <c r="G41" s="47" t="s">
        <v>99</v>
      </c>
      <c r="H41" s="47" t="s">
        <v>279</v>
      </c>
      <c r="I41" s="49" t="s">
        <v>500</v>
      </c>
      <c r="J41" s="50">
        <v>0.25319999999999998</v>
      </c>
      <c r="K41" s="50">
        <v>0.25319999999999998</v>
      </c>
      <c r="L41" s="50">
        <v>0.33910000000000001</v>
      </c>
      <c r="M41" s="50">
        <v>0.50170000000000003</v>
      </c>
      <c r="N41" s="50">
        <v>0.5696</v>
      </c>
      <c r="O41" s="50">
        <v>0.64419999999999999</v>
      </c>
      <c r="P41" s="50">
        <v>0.71889999999999998</v>
      </c>
      <c r="Q41" s="50">
        <v>0.72230000000000005</v>
      </c>
      <c r="R41" s="50">
        <v>0.72519999999999996</v>
      </c>
      <c r="S41" s="50">
        <v>0.72760000000000002</v>
      </c>
      <c r="T41" s="50">
        <v>0.72960000000000003</v>
      </c>
      <c r="U41" s="50">
        <v>0.75</v>
      </c>
      <c r="V41" s="50">
        <v>0.9284</v>
      </c>
      <c r="W41" s="50">
        <v>1.1446000000000001</v>
      </c>
      <c r="X41" s="50">
        <v>1.3997999999999999</v>
      </c>
      <c r="Y41" s="50">
        <v>1.7188000000000001</v>
      </c>
      <c r="Z41" s="50">
        <v>2.0312999999999999</v>
      </c>
      <c r="AA41" s="50">
        <v>2.2759</v>
      </c>
      <c r="AB41" s="50">
        <v>2.4944000000000002</v>
      </c>
      <c r="AC41" s="50">
        <v>2.7109000000000001</v>
      </c>
      <c r="AD41" s="50">
        <v>2.8542999999999998</v>
      </c>
      <c r="AE41" s="50">
        <v>2.9211999999999998</v>
      </c>
      <c r="AF41" s="50">
        <v>2.9878999999999998</v>
      </c>
      <c r="AG41" s="50">
        <v>3.0545</v>
      </c>
      <c r="AH41" s="50">
        <v>3.1212</v>
      </c>
      <c r="AI41" s="50">
        <v>3.1879</v>
      </c>
      <c r="AJ41" s="50">
        <v>3.2545000000000002</v>
      </c>
      <c r="AK41" s="50">
        <v>3.2545000000000002</v>
      </c>
      <c r="AL41" s="50">
        <v>3.2545000000000002</v>
      </c>
      <c r="AM41" s="50">
        <v>3.2545000000000002</v>
      </c>
      <c r="AN41" s="50">
        <v>3.2545000000000002</v>
      </c>
      <c r="AO41" s="50">
        <v>3.2545000000000002</v>
      </c>
      <c r="AP41" s="50">
        <v>3.2545000000000002</v>
      </c>
      <c r="AQ41" s="50">
        <v>3.2545000000000002</v>
      </c>
      <c r="AR41" s="50">
        <v>3.2545000000000002</v>
      </c>
      <c r="AS41" s="50">
        <v>3.2545000000000002</v>
      </c>
      <c r="AT41" s="50">
        <v>3.2545000000000002</v>
      </c>
      <c r="AU41" s="50">
        <v>3.2545000000000002</v>
      </c>
      <c r="AV41" s="50">
        <v>3.2545000000000002</v>
      </c>
      <c r="AW41" s="50">
        <v>3.2545000000000002</v>
      </c>
      <c r="AX41" s="50">
        <v>3.2545000000000002</v>
      </c>
      <c r="AY41" s="50">
        <v>3.2545000000000002</v>
      </c>
      <c r="AZ41" s="50">
        <v>3.2545000000000002</v>
      </c>
      <c r="BA41" s="50">
        <v>3.2545000000000002</v>
      </c>
      <c r="BB41" s="50">
        <v>3.2545000000000002</v>
      </c>
      <c r="BC41" s="50">
        <v>3.2545000000000002</v>
      </c>
      <c r="BD41" s="50">
        <v>3.2545000000000002</v>
      </c>
      <c r="BE41" s="50">
        <v>3.2545000000000002</v>
      </c>
      <c r="BF41" s="50">
        <v>3.2545000000000002</v>
      </c>
      <c r="BG41" s="50">
        <v>3.2545000000000002</v>
      </c>
      <c r="BH41" s="50">
        <v>3.2545000000000002</v>
      </c>
      <c r="BI41" s="50">
        <v>3.2545000000000002</v>
      </c>
      <c r="BJ41" t="e">
        <v>#N/A</v>
      </c>
      <c r="BK41" t="b">
        <v>1</v>
      </c>
    </row>
    <row r="42" spans="1:63" x14ac:dyDescent="0.3">
      <c r="A42" s="47" t="s">
        <v>270</v>
      </c>
      <c r="B42" s="48" t="s">
        <v>429</v>
      </c>
      <c r="C42" s="57" t="s">
        <v>403</v>
      </c>
      <c r="D42" s="47" t="s">
        <v>278</v>
      </c>
      <c r="E42" s="47"/>
      <c r="F42" s="47" t="s">
        <v>277</v>
      </c>
      <c r="G42" s="47" t="s">
        <v>99</v>
      </c>
      <c r="H42" s="47" t="s">
        <v>276</v>
      </c>
      <c r="I42" s="49" t="s">
        <v>500</v>
      </c>
      <c r="J42" s="50">
        <v>9.4733999999999998</v>
      </c>
      <c r="K42" s="50">
        <v>8.2468000000000004</v>
      </c>
      <c r="L42" s="50">
        <v>8.5828000000000007</v>
      </c>
      <c r="M42" s="50">
        <v>9.1783999999999999</v>
      </c>
      <c r="N42" s="50">
        <v>9.1257000000000001</v>
      </c>
      <c r="O42" s="50">
        <v>9.0528999999999993</v>
      </c>
      <c r="P42" s="50">
        <v>9.3541000000000007</v>
      </c>
      <c r="Q42" s="50">
        <v>9.7112999999999996</v>
      </c>
      <c r="R42" s="50">
        <v>10.104200000000001</v>
      </c>
      <c r="S42" s="50">
        <v>10.4642</v>
      </c>
      <c r="T42" s="50">
        <v>10.865500000000001</v>
      </c>
      <c r="U42" s="50">
        <v>11.4625</v>
      </c>
      <c r="V42" s="50">
        <v>12.010899999999999</v>
      </c>
      <c r="W42" s="50">
        <v>12.589499999999999</v>
      </c>
      <c r="X42" s="50">
        <v>13.2082</v>
      </c>
      <c r="Y42" s="50">
        <v>13.850199999999999</v>
      </c>
      <c r="Z42" s="50">
        <v>14.4703</v>
      </c>
      <c r="AA42" s="50">
        <v>15.095700000000001</v>
      </c>
      <c r="AB42" s="50">
        <v>15.7211</v>
      </c>
      <c r="AC42" s="50">
        <v>16.325199999999999</v>
      </c>
      <c r="AD42" s="50">
        <v>16.892199999999999</v>
      </c>
      <c r="AE42" s="50">
        <v>17.396799999999999</v>
      </c>
      <c r="AF42" s="50">
        <v>17.908300000000001</v>
      </c>
      <c r="AG42" s="50">
        <v>18.3949</v>
      </c>
      <c r="AH42" s="50">
        <v>18.857900000000001</v>
      </c>
      <c r="AI42" s="50">
        <v>19.346299999999999</v>
      </c>
      <c r="AJ42" s="50">
        <v>19.759</v>
      </c>
      <c r="AK42" s="50">
        <v>20.173999999999999</v>
      </c>
      <c r="AL42" s="50">
        <v>20.669799999999999</v>
      </c>
      <c r="AM42" s="50">
        <v>21.164400000000001</v>
      </c>
      <c r="AN42" s="50">
        <v>21.622800000000002</v>
      </c>
      <c r="AO42" s="50">
        <v>22.057500000000001</v>
      </c>
      <c r="AP42" s="50">
        <v>21.869900000000001</v>
      </c>
      <c r="AQ42" s="50">
        <v>21.680199999999999</v>
      </c>
      <c r="AR42" s="50">
        <v>21.488199999999999</v>
      </c>
      <c r="AS42" s="50">
        <v>21.375900000000001</v>
      </c>
      <c r="AT42" s="50">
        <v>21.179600000000001</v>
      </c>
      <c r="AU42" s="50">
        <v>21.141200000000001</v>
      </c>
      <c r="AV42" s="50">
        <v>21.1098</v>
      </c>
      <c r="AW42" s="50">
        <v>21.075500000000002</v>
      </c>
      <c r="AX42" s="50">
        <v>20.989899999999999</v>
      </c>
      <c r="AY42" s="50">
        <v>20.9709</v>
      </c>
      <c r="AZ42" s="50">
        <v>20.969000000000001</v>
      </c>
      <c r="BA42" s="50">
        <v>20.965499999999999</v>
      </c>
      <c r="BB42" s="50">
        <v>20.962599999999998</v>
      </c>
      <c r="BC42" s="50">
        <v>20.9633</v>
      </c>
      <c r="BD42" s="50">
        <v>20.961300000000001</v>
      </c>
      <c r="BE42" s="50">
        <v>20.9589</v>
      </c>
      <c r="BF42" s="50">
        <v>20.9573</v>
      </c>
      <c r="BG42" s="50">
        <v>20.9544</v>
      </c>
      <c r="BH42" s="50">
        <v>20.950199999999999</v>
      </c>
      <c r="BI42" s="50">
        <v>20.947700000000001</v>
      </c>
      <c r="BJ42" t="e">
        <v>#N/A</v>
      </c>
      <c r="BK42" t="b">
        <v>1</v>
      </c>
    </row>
    <row r="43" spans="1:63" x14ac:dyDescent="0.3">
      <c r="A43" s="47" t="s">
        <v>270</v>
      </c>
      <c r="B43" s="59" t="s">
        <v>484</v>
      </c>
      <c r="C43" s="57" t="s">
        <v>269</v>
      </c>
      <c r="D43" s="47" t="s">
        <v>203</v>
      </c>
      <c r="E43" s="47"/>
      <c r="F43" s="47" t="s">
        <v>275</v>
      </c>
      <c r="G43" s="47" t="s">
        <v>99</v>
      </c>
      <c r="H43" s="47" t="s">
        <v>274</v>
      </c>
      <c r="I43" s="49" t="s">
        <v>500</v>
      </c>
      <c r="J43" s="50">
        <v>1.7949999999999999</v>
      </c>
      <c r="K43" s="50">
        <v>1.7554000000000001</v>
      </c>
      <c r="L43" s="50">
        <v>1.6373</v>
      </c>
      <c r="M43" s="50">
        <v>1.9913000000000001</v>
      </c>
      <c r="N43" s="50">
        <v>1.6212</v>
      </c>
      <c r="O43" s="50">
        <v>2.0649999999999999</v>
      </c>
      <c r="P43" s="50">
        <v>2.0649999999999999</v>
      </c>
      <c r="Q43" s="50">
        <v>2.0649999999999999</v>
      </c>
      <c r="R43" s="50">
        <v>2.0649999999999999</v>
      </c>
      <c r="S43" s="50">
        <v>2.0649999999999999</v>
      </c>
      <c r="T43" s="50">
        <v>2.0649999999999999</v>
      </c>
      <c r="U43" s="50">
        <v>2.0649999999999999</v>
      </c>
      <c r="V43" s="50">
        <v>2.0649999999999999</v>
      </c>
      <c r="W43" s="50">
        <v>2.0649999999999999</v>
      </c>
      <c r="X43" s="50">
        <v>2.0649999999999999</v>
      </c>
      <c r="Y43" s="50">
        <v>2.0649999999999999</v>
      </c>
      <c r="Z43" s="50">
        <v>2.0649999999999999</v>
      </c>
      <c r="AA43" s="50">
        <v>2.0649999999999999</v>
      </c>
      <c r="AB43" s="50">
        <v>2.0649999999999999</v>
      </c>
      <c r="AC43" s="50">
        <v>2.0649999999999999</v>
      </c>
      <c r="AD43" s="50">
        <v>2.0649999999999999</v>
      </c>
      <c r="AE43" s="50">
        <v>2.0649999999999999</v>
      </c>
      <c r="AF43" s="50">
        <v>2.0649999999999999</v>
      </c>
      <c r="AG43" s="50">
        <v>2.0649999999999999</v>
      </c>
      <c r="AH43" s="50">
        <v>2.0649999999999999</v>
      </c>
      <c r="AI43" s="50">
        <v>2.0649999999999999</v>
      </c>
      <c r="AJ43" s="50">
        <v>2.0649999999999999</v>
      </c>
      <c r="AK43" s="50">
        <v>2.0649999999999999</v>
      </c>
      <c r="AL43" s="50">
        <v>2.0649999999999999</v>
      </c>
      <c r="AM43" s="50">
        <v>2.0649999999999999</v>
      </c>
      <c r="AN43" s="50">
        <v>2.0649999999999999</v>
      </c>
      <c r="AO43" s="50">
        <v>2.0649999999999999</v>
      </c>
      <c r="AP43" s="50">
        <v>2.0649999999999999</v>
      </c>
      <c r="AQ43" s="50">
        <v>2.0649999999999999</v>
      </c>
      <c r="AR43" s="50">
        <v>2.0649999999999999</v>
      </c>
      <c r="AS43" s="50">
        <v>2.0649999999999999</v>
      </c>
      <c r="AT43" s="50">
        <v>2.0649999999999999</v>
      </c>
      <c r="AU43" s="50">
        <v>2.0649999999999999</v>
      </c>
      <c r="AV43" s="50">
        <v>2.0649999999999999</v>
      </c>
      <c r="AW43" s="50">
        <v>2.0649999999999999</v>
      </c>
      <c r="AX43" s="50">
        <v>2.0649999999999999</v>
      </c>
      <c r="AY43" s="50">
        <v>2.0649999999999999</v>
      </c>
      <c r="AZ43" s="50">
        <v>2.0649999999999999</v>
      </c>
      <c r="BA43" s="50">
        <v>2.0649999999999999</v>
      </c>
      <c r="BB43" s="50">
        <v>2.0649999999999999</v>
      </c>
      <c r="BC43" s="50">
        <v>2.0649999999999999</v>
      </c>
      <c r="BD43" s="50">
        <v>2.0649999999999999</v>
      </c>
      <c r="BE43" s="50">
        <v>2.0649999999999999</v>
      </c>
      <c r="BF43" s="50">
        <v>2.0649999999999999</v>
      </c>
      <c r="BG43" s="50">
        <v>2.0649999999999999</v>
      </c>
      <c r="BH43" s="50">
        <v>2.0649999999999999</v>
      </c>
      <c r="BI43" s="50">
        <v>2.0649999999999999</v>
      </c>
      <c r="BJ43" t="e">
        <v>#N/A</v>
      </c>
      <c r="BK43" t="b">
        <v>1</v>
      </c>
    </row>
    <row r="44" spans="1:63" x14ac:dyDescent="0.3">
      <c r="A44" s="47" t="s">
        <v>270</v>
      </c>
      <c r="B44" s="59" t="s">
        <v>484</v>
      </c>
      <c r="C44" s="57" t="s">
        <v>269</v>
      </c>
      <c r="D44" s="47" t="s">
        <v>273</v>
      </c>
      <c r="E44" s="47"/>
      <c r="F44" s="47" t="s">
        <v>273</v>
      </c>
      <c r="G44" s="47" t="s">
        <v>99</v>
      </c>
      <c r="H44" s="47" t="s">
        <v>272</v>
      </c>
      <c r="I44" s="49" t="s">
        <v>500</v>
      </c>
      <c r="J44" s="50">
        <v>63.682000000000002</v>
      </c>
      <c r="K44" s="50">
        <v>51.381799999999998</v>
      </c>
      <c r="L44" s="50">
        <v>63.509900000000002</v>
      </c>
      <c r="M44" s="50">
        <v>0</v>
      </c>
      <c r="N44" s="50">
        <v>54.226100000000002</v>
      </c>
      <c r="O44" s="50">
        <v>99.234700000000004</v>
      </c>
      <c r="P44" s="50">
        <v>108.70350000000001</v>
      </c>
      <c r="Q44" s="50">
        <v>114.2355</v>
      </c>
      <c r="R44" s="50">
        <v>107.12130000000001</v>
      </c>
      <c r="S44" s="50">
        <v>105.6057</v>
      </c>
      <c r="T44" s="50">
        <v>119.3642</v>
      </c>
      <c r="U44" s="50">
        <v>98.138400000000004</v>
      </c>
      <c r="V44" s="50">
        <v>81.831400000000002</v>
      </c>
      <c r="W44" s="50">
        <v>95.518600000000006</v>
      </c>
      <c r="X44" s="50">
        <v>86.261899999999997</v>
      </c>
      <c r="Y44" s="50">
        <v>78.164000000000001</v>
      </c>
      <c r="Z44" s="50">
        <v>75.240300000000005</v>
      </c>
      <c r="AA44" s="50">
        <v>74.883700000000005</v>
      </c>
      <c r="AB44" s="50">
        <v>71.546400000000006</v>
      </c>
      <c r="AC44" s="50">
        <v>71.245000000000005</v>
      </c>
      <c r="AD44" s="50">
        <v>92.662899999999993</v>
      </c>
      <c r="AE44" s="50">
        <v>88.576999999999998</v>
      </c>
      <c r="AF44" s="50">
        <v>80.054199999999994</v>
      </c>
      <c r="AG44" s="50">
        <v>70.3994</v>
      </c>
      <c r="AH44" s="50">
        <v>43.414999999999999</v>
      </c>
      <c r="AI44" s="50">
        <v>51.3645</v>
      </c>
      <c r="AJ44" s="50">
        <v>59.407600000000002</v>
      </c>
      <c r="AK44" s="50">
        <v>51.925600000000003</v>
      </c>
      <c r="AL44" s="50">
        <v>59.222099999999998</v>
      </c>
      <c r="AM44" s="50">
        <v>44.011699999999998</v>
      </c>
      <c r="AN44" s="50">
        <v>52.916600000000003</v>
      </c>
      <c r="AO44" s="50">
        <v>40.453200000000002</v>
      </c>
      <c r="AP44" s="50">
        <v>52.508099999999999</v>
      </c>
      <c r="AQ44" s="50">
        <v>61.621899999999997</v>
      </c>
      <c r="AR44" s="50">
        <v>45.670499999999997</v>
      </c>
      <c r="AS44" s="50">
        <v>56.661799999999999</v>
      </c>
      <c r="AT44" s="50">
        <v>64.029399999999995</v>
      </c>
      <c r="AU44" s="50">
        <v>67.654499999999999</v>
      </c>
      <c r="AV44" s="50">
        <v>64.5227</v>
      </c>
      <c r="AW44" s="50">
        <v>56.6648</v>
      </c>
      <c r="AX44" s="50">
        <v>61.176400000000001</v>
      </c>
      <c r="AY44" s="50">
        <v>58.395200000000003</v>
      </c>
      <c r="AZ44" s="50">
        <v>69.0732</v>
      </c>
      <c r="BA44" s="50">
        <v>79.284999999999997</v>
      </c>
      <c r="BB44" s="50">
        <v>72.378</v>
      </c>
      <c r="BC44" s="50">
        <v>74.907200000000003</v>
      </c>
      <c r="BD44" s="50">
        <v>84.810500000000005</v>
      </c>
      <c r="BE44" s="50">
        <v>88.436700000000002</v>
      </c>
      <c r="BF44" s="50">
        <v>91.274199999999993</v>
      </c>
      <c r="BG44" s="50">
        <v>93.949799999999996</v>
      </c>
      <c r="BH44" s="50">
        <v>95.391000000000005</v>
      </c>
      <c r="BI44" s="50">
        <v>97.021799999999999</v>
      </c>
      <c r="BJ44" t="e">
        <v>#N/A</v>
      </c>
      <c r="BK44" t="b">
        <v>1</v>
      </c>
    </row>
    <row r="45" spans="1:63" x14ac:dyDescent="0.3">
      <c r="A45" s="47" t="s">
        <v>270</v>
      </c>
      <c r="B45" s="48" t="s">
        <v>429</v>
      </c>
      <c r="C45" s="57" t="s">
        <v>404</v>
      </c>
      <c r="D45" s="47" t="s">
        <v>203</v>
      </c>
      <c r="E45" s="47"/>
      <c r="F45" s="47" t="s">
        <v>202</v>
      </c>
      <c r="G45" s="47" t="s">
        <v>99</v>
      </c>
      <c r="H45" s="47" t="s">
        <v>432</v>
      </c>
      <c r="I45" s="49" t="s">
        <v>500</v>
      </c>
      <c r="J45" s="50">
        <v>37.863900000000001</v>
      </c>
      <c r="K45" s="50">
        <v>35.098399999999998</v>
      </c>
      <c r="L45" s="50">
        <v>38.199399999999997</v>
      </c>
      <c r="M45" s="50">
        <v>34.418999999999997</v>
      </c>
      <c r="N45" s="50">
        <v>36.517000000000003</v>
      </c>
      <c r="O45" s="50">
        <v>36.9621</v>
      </c>
      <c r="P45" s="50">
        <v>37.095100000000002</v>
      </c>
      <c r="Q45" s="50">
        <v>37.152500000000003</v>
      </c>
      <c r="R45" s="50">
        <v>37.3262</v>
      </c>
      <c r="S45" s="50">
        <v>37.558</v>
      </c>
      <c r="T45" s="50">
        <v>37.845300000000002</v>
      </c>
      <c r="U45" s="50">
        <v>38.179900000000004</v>
      </c>
      <c r="V45" s="50">
        <v>38.551000000000002</v>
      </c>
      <c r="W45" s="50">
        <v>38.915599999999998</v>
      </c>
      <c r="X45" s="50">
        <v>39.312899999999999</v>
      </c>
      <c r="Y45" s="50">
        <v>39.723399999999998</v>
      </c>
      <c r="Z45" s="50">
        <v>40.050600000000003</v>
      </c>
      <c r="AA45" s="50">
        <v>40.381999999999998</v>
      </c>
      <c r="AB45" s="50">
        <v>40.712600000000002</v>
      </c>
      <c r="AC45" s="50">
        <v>40.969900000000003</v>
      </c>
      <c r="AD45" s="50">
        <v>41.167499999999997</v>
      </c>
      <c r="AE45" s="50">
        <v>41.0471</v>
      </c>
      <c r="AF45" s="50">
        <v>41.2742</v>
      </c>
      <c r="AG45" s="50">
        <v>41.444800000000001</v>
      </c>
      <c r="AH45" s="50">
        <v>41.6706</v>
      </c>
      <c r="AI45" s="50">
        <v>41.783900000000003</v>
      </c>
      <c r="AJ45" s="50">
        <v>41.850499999999997</v>
      </c>
      <c r="AK45" s="50">
        <v>41.843400000000003</v>
      </c>
      <c r="AL45" s="50">
        <v>41.777200000000001</v>
      </c>
      <c r="AM45" s="50">
        <v>41.647100000000002</v>
      </c>
      <c r="AN45" s="50">
        <v>41.451099999999997</v>
      </c>
      <c r="AO45" s="50">
        <v>41.2226</v>
      </c>
      <c r="AP45" s="50">
        <v>41.023099999999999</v>
      </c>
      <c r="AQ45" s="50">
        <v>40.845500000000001</v>
      </c>
      <c r="AR45" s="50">
        <v>40.6205</v>
      </c>
      <c r="AS45" s="50">
        <v>40.4861</v>
      </c>
      <c r="AT45" s="50">
        <v>40.381500000000003</v>
      </c>
      <c r="AU45" s="50">
        <v>40.2502</v>
      </c>
      <c r="AV45" s="50">
        <v>40.1599</v>
      </c>
      <c r="AW45" s="50">
        <v>40.110799999999998</v>
      </c>
      <c r="AX45" s="50">
        <v>40.052700000000002</v>
      </c>
      <c r="AY45" s="50">
        <v>39.980899999999998</v>
      </c>
      <c r="AZ45" s="50">
        <v>40.015300000000003</v>
      </c>
      <c r="BA45" s="50">
        <v>39.960099999999997</v>
      </c>
      <c r="BB45" s="50">
        <v>39.952300000000001</v>
      </c>
      <c r="BC45" s="50">
        <v>39.842500000000001</v>
      </c>
      <c r="BD45" s="50">
        <v>39.869399999999999</v>
      </c>
      <c r="BE45" s="50">
        <v>39.777200000000001</v>
      </c>
      <c r="BF45" s="50">
        <v>39.746699999999997</v>
      </c>
      <c r="BG45" s="50">
        <v>39.657600000000002</v>
      </c>
      <c r="BH45" s="50">
        <v>39.658999999999999</v>
      </c>
      <c r="BI45" s="50">
        <v>39.588000000000001</v>
      </c>
      <c r="BJ45" t="e">
        <v>#N/A</v>
      </c>
      <c r="BK45" t="b">
        <v>1</v>
      </c>
    </row>
    <row r="47" spans="1:63" ht="15" thickBot="1" x14ac:dyDescent="0.35">
      <c r="A47" s="47" t="s">
        <v>270</v>
      </c>
      <c r="B47" s="59" t="s">
        <v>484</v>
      </c>
      <c r="C47" s="47" t="s">
        <v>269</v>
      </c>
      <c r="D47" s="47"/>
      <c r="E47" s="52"/>
      <c r="F47" s="52" t="s">
        <v>201</v>
      </c>
      <c r="G47" s="47" t="s">
        <v>99</v>
      </c>
      <c r="H47" s="47" t="s">
        <v>271</v>
      </c>
      <c r="I47" s="49" t="s">
        <v>500</v>
      </c>
      <c r="J47" s="50">
        <v>535.60599999999999</v>
      </c>
      <c r="K47" s="50">
        <v>499.31400000000002</v>
      </c>
      <c r="L47" s="50">
        <v>522.45510000000002</v>
      </c>
      <c r="M47" s="50">
        <v>448.73129999999998</v>
      </c>
      <c r="N47" s="50">
        <v>495.71379999999999</v>
      </c>
      <c r="O47" s="50">
        <v>538.36689999999999</v>
      </c>
      <c r="P47" s="50">
        <v>550.53459999999995</v>
      </c>
      <c r="Q47" s="50">
        <v>559.35320000000002</v>
      </c>
      <c r="R47" s="50">
        <v>556.9529</v>
      </c>
      <c r="S47" s="50">
        <v>560.72080000000005</v>
      </c>
      <c r="T47" s="50">
        <v>580.42550000000006</v>
      </c>
      <c r="U47" s="50">
        <v>565.72720000000004</v>
      </c>
      <c r="V47" s="50">
        <v>557.40920000000006</v>
      </c>
      <c r="W47" s="50">
        <v>578.98289999999997</v>
      </c>
      <c r="X47" s="50">
        <v>577.99749999999995</v>
      </c>
      <c r="Y47" s="50">
        <v>578.33090000000004</v>
      </c>
      <c r="Z47" s="50">
        <v>582.76139999999998</v>
      </c>
      <c r="AA47" s="50">
        <v>593.00289999999995</v>
      </c>
      <c r="AB47" s="50">
        <v>600.06820000000005</v>
      </c>
      <c r="AC47" s="50">
        <v>609.1046</v>
      </c>
      <c r="AD47" s="50">
        <v>638.87860000000001</v>
      </c>
      <c r="AE47" s="50">
        <v>638.99770000000001</v>
      </c>
      <c r="AF47" s="50">
        <v>640.53150000000005</v>
      </c>
      <c r="AG47" s="50">
        <v>639.93240000000003</v>
      </c>
      <c r="AH47" s="50">
        <v>622.43340000000001</v>
      </c>
      <c r="AI47" s="50">
        <v>638.23979999999995</v>
      </c>
      <c r="AJ47" s="50">
        <v>653.31650000000002</v>
      </c>
      <c r="AK47" s="50">
        <v>653.94970000000001</v>
      </c>
      <c r="AL47" s="50">
        <v>668.26710000000003</v>
      </c>
      <c r="AM47" s="50">
        <v>658.91700000000003</v>
      </c>
      <c r="AN47" s="50">
        <v>672.4864</v>
      </c>
      <c r="AO47" s="50">
        <v>663.90459999999996</v>
      </c>
      <c r="AP47" s="50">
        <v>674.50279999999998</v>
      </c>
      <c r="AQ47" s="50">
        <v>682.43430000000001</v>
      </c>
      <c r="AR47" s="50">
        <v>664.70899999999995</v>
      </c>
      <c r="AS47" s="50">
        <v>675.06730000000005</v>
      </c>
      <c r="AT47" s="50">
        <v>682.17</v>
      </c>
      <c r="AU47" s="50">
        <v>685.19569999999999</v>
      </c>
      <c r="AV47" s="50">
        <v>681.97739999999999</v>
      </c>
      <c r="AW47" s="50">
        <v>674.55060000000003</v>
      </c>
      <c r="AX47" s="50">
        <v>679.37810000000002</v>
      </c>
      <c r="AY47" s="50">
        <v>676.74620000000004</v>
      </c>
      <c r="AZ47" s="50">
        <v>688.55409999999995</v>
      </c>
      <c r="BA47" s="50">
        <v>698.77160000000003</v>
      </c>
      <c r="BB47" s="50">
        <v>692.46619999999996</v>
      </c>
      <c r="BC47" s="50">
        <v>694.32449999999994</v>
      </c>
      <c r="BD47" s="50">
        <v>705.26220000000001</v>
      </c>
      <c r="BE47" s="50">
        <v>708.43430000000001</v>
      </c>
      <c r="BF47" s="50">
        <v>711.58989999999994</v>
      </c>
      <c r="BG47" s="50">
        <v>713.8501</v>
      </c>
      <c r="BH47" s="50">
        <v>716.00369999999998</v>
      </c>
      <c r="BI47" s="50">
        <v>717.44749999999999</v>
      </c>
      <c r="BJ47" t="e">
        <v>#N/A</v>
      </c>
    </row>
    <row r="48" spans="1:63" ht="15.6" thickTop="1" thickBot="1" x14ac:dyDescent="0.35">
      <c r="A48" s="47" t="s">
        <v>270</v>
      </c>
      <c r="B48" s="51" t="s">
        <v>456</v>
      </c>
      <c r="C48" s="47" t="s">
        <v>269</v>
      </c>
      <c r="D48" s="47"/>
      <c r="E48" s="52"/>
      <c r="F48" s="52" t="s">
        <v>197</v>
      </c>
      <c r="G48" s="47" t="s">
        <v>99</v>
      </c>
      <c r="H48" s="47"/>
      <c r="I48" s="47"/>
      <c r="J48" s="55">
        <f>J47-SUMIF($BK$2:$BK$45,TRUE,J$2:J$45)</f>
        <v>-1.0000000202126103E-5</v>
      </c>
      <c r="K48" s="55">
        <f t="shared" ref="K48:BI48" si="5">K47-SUMIF($BK$2:$BK$45,TRUE,K$2:K$45)</f>
        <v>-1.0000000031595846E-5</v>
      </c>
      <c r="L48" s="55">
        <f t="shared" si="5"/>
        <v>-1.0999999994965037E-4</v>
      </c>
      <c r="M48" s="55">
        <f t="shared" si="5"/>
        <v>-3.0000000094787538E-5</v>
      </c>
      <c r="N48" s="55">
        <f t="shared" si="5"/>
        <v>4.0000000069539965E-5</v>
      </c>
      <c r="O48" s="55">
        <f t="shared" si="5"/>
        <v>7.9999999911706254E-5</v>
      </c>
      <c r="P48" s="55">
        <f t="shared" si="5"/>
        <v>3.9999999899009708E-5</v>
      </c>
      <c r="Q48" s="55">
        <f t="shared" si="5"/>
        <v>1.5999999993709935E-4</v>
      </c>
      <c r="R48" s="55">
        <f t="shared" si="5"/>
        <v>-9.9999999861211109E-5</v>
      </c>
      <c r="S48" s="55">
        <f t="shared" si="5"/>
        <v>-8.9999999886458681E-5</v>
      </c>
      <c r="T48" s="55">
        <f t="shared" si="5"/>
        <v>1.1000000006333721E-4</v>
      </c>
      <c r="U48" s="55">
        <f t="shared" si="5"/>
        <v>-9.9999999861211109E-5</v>
      </c>
      <c r="V48" s="55">
        <f t="shared" si="5"/>
        <v>-6.9999999936953827E-5</v>
      </c>
      <c r="W48" s="55">
        <f t="shared" si="5"/>
        <v>-5.0000000101135811E-5</v>
      </c>
      <c r="X48" s="55">
        <f t="shared" si="5"/>
        <v>-5.99999999622014E-5</v>
      </c>
      <c r="Y48" s="55">
        <f t="shared" si="5"/>
        <v>9.0000000113832357E-5</v>
      </c>
      <c r="Z48" s="55">
        <f t="shared" si="5"/>
        <v>1.3999999987390765E-4</v>
      </c>
      <c r="AA48" s="55">
        <f t="shared" si="5"/>
        <v>-2.0000000063191692E-5</v>
      </c>
      <c r="AB48" s="55">
        <f t="shared" si="5"/>
        <v>1.1000000017702405E-4</v>
      </c>
      <c r="AC48" s="55">
        <f t="shared" si="5"/>
        <v>5.99999999622014E-5</v>
      </c>
      <c r="AD48" s="55">
        <f t="shared" si="5"/>
        <v>-4.0000000126383384E-5</v>
      </c>
      <c r="AE48" s="55">
        <f t="shared" si="5"/>
        <v>-5.99999999622014E-5</v>
      </c>
      <c r="AF48" s="55">
        <f t="shared" si="5"/>
        <v>-4.9999999987448973E-5</v>
      </c>
      <c r="AG48" s="55">
        <f t="shared" si="5"/>
        <v>1.9999999949504854E-5</v>
      </c>
      <c r="AH48" s="55">
        <f t="shared" si="5"/>
        <v>1.4999999984866008E-4</v>
      </c>
      <c r="AI48" s="55">
        <f t="shared" si="5"/>
        <v>4.9999999760075298E-5</v>
      </c>
      <c r="AJ48" s="55">
        <f t="shared" si="5"/>
        <v>7.9999999911706254E-5</v>
      </c>
      <c r="AK48" s="55">
        <f t="shared" si="5"/>
        <v>-3.0000000037944119E-5</v>
      </c>
      <c r="AL48" s="55">
        <f t="shared" si="5"/>
        <v>1.0000000088439265E-5</v>
      </c>
      <c r="AM48" s="55">
        <f t="shared" si="5"/>
        <v>3.0000000037944119E-5</v>
      </c>
      <c r="AN48" s="55">
        <f t="shared" si="5"/>
        <v>9.9999999747524271E-6</v>
      </c>
      <c r="AO48" s="55">
        <f t="shared" si="5"/>
        <v>-5.999930000000063</v>
      </c>
      <c r="AP48" s="55">
        <f t="shared" si="5"/>
        <v>1.4999999996234692E-4</v>
      </c>
      <c r="AQ48" s="55">
        <f t="shared" si="5"/>
        <v>9.9999999974897946E-5</v>
      </c>
      <c r="AR48" s="55">
        <f t="shared" si="5"/>
        <v>-1.0000000088439265E-5</v>
      </c>
      <c r="AS48" s="55">
        <f t="shared" si="5"/>
        <v>9.0000000000145519E-5</v>
      </c>
      <c r="AT48" s="55">
        <f t="shared" si="5"/>
        <v>1.3999999998759449E-4</v>
      </c>
      <c r="AU48" s="55">
        <f t="shared" si="5"/>
        <v>9.9999999974897946E-5</v>
      </c>
      <c r="AV48" s="55">
        <f t="shared" si="5"/>
        <v>4.9999999987448973E-5</v>
      </c>
      <c r="AW48" s="55">
        <f t="shared" si="5"/>
        <v>7.9999999911706254E-5</v>
      </c>
      <c r="AX48" s="55">
        <f t="shared" si="5"/>
        <v>7.9999999911706254E-5</v>
      </c>
      <c r="AY48" s="55">
        <f t="shared" si="5"/>
        <v>4.9999999873762135E-5</v>
      </c>
      <c r="AZ48" s="55">
        <f t="shared" si="5"/>
        <v>1.8999999986135663E-4</v>
      </c>
      <c r="BA48" s="55">
        <f t="shared" si="5"/>
        <v>3.0000000037944119E-5</v>
      </c>
      <c r="BB48" s="55">
        <f t="shared" si="5"/>
        <v>1.3999999987390765E-4</v>
      </c>
      <c r="BC48" s="55">
        <f t="shared" si="5"/>
        <v>7.9999999911706254E-5</v>
      </c>
      <c r="BD48" s="55">
        <f t="shared" si="5"/>
        <v>9.9999997473787516E-6</v>
      </c>
      <c r="BE48" s="55">
        <f t="shared" si="5"/>
        <v>7.0000000050640665E-5</v>
      </c>
      <c r="BF48" s="55">
        <f t="shared" si="5"/>
        <v>1.3999999998759449E-4</v>
      </c>
      <c r="BG48" s="55">
        <f t="shared" si="5"/>
        <v>1.0000000008858478E-4</v>
      </c>
      <c r="BH48" s="55">
        <f t="shared" si="5"/>
        <v>1.0000000088439265E-5</v>
      </c>
      <c r="BI48" s="55">
        <f t="shared" si="5"/>
        <v>1.4999999996234692E-4</v>
      </c>
    </row>
    <row r="49" spans="1:62" ht="15" thickTop="1" x14ac:dyDescent="0.3">
      <c r="A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</row>
    <row r="50" spans="1:62" x14ac:dyDescent="0.3">
      <c r="A50" s="47" t="s">
        <v>264</v>
      </c>
      <c r="B50" s="60" t="s">
        <v>436</v>
      </c>
      <c r="C50" s="47" t="s">
        <v>365</v>
      </c>
      <c r="D50" s="47" t="s">
        <v>163</v>
      </c>
      <c r="E50" s="47"/>
      <c r="F50" s="61" t="str">
        <f t="shared" ref="F50" si="6">"Capacité installée " &amp; LOWER(D50)</f>
        <v>Capacité installée nucléaire</v>
      </c>
      <c r="G50" s="47" t="s">
        <v>50</v>
      </c>
      <c r="H50" s="47" t="s">
        <v>268</v>
      </c>
      <c r="I50" s="49" t="s">
        <v>501</v>
      </c>
      <c r="J50" s="50">
        <v>63.13</v>
      </c>
      <c r="K50" s="50">
        <v>61.4</v>
      </c>
      <c r="L50" s="50">
        <v>61.4</v>
      </c>
      <c r="M50" s="50">
        <v>61.4</v>
      </c>
      <c r="N50" s="50">
        <v>61.4</v>
      </c>
      <c r="O50" s="50">
        <v>63</v>
      </c>
      <c r="P50" s="50">
        <v>62.64</v>
      </c>
      <c r="Q50" s="50">
        <v>62.64</v>
      </c>
      <c r="R50" s="50">
        <v>62.64</v>
      </c>
      <c r="S50" s="50">
        <v>62.64</v>
      </c>
      <c r="T50" s="50">
        <v>62.64</v>
      </c>
      <c r="U50" s="50">
        <v>61.725000000000001</v>
      </c>
      <c r="V50" s="50">
        <v>58.99</v>
      </c>
      <c r="W50" s="50">
        <v>55.39</v>
      </c>
      <c r="X50" s="50">
        <v>54.48</v>
      </c>
      <c r="Y50" s="50">
        <v>52.66</v>
      </c>
      <c r="Z50" s="50">
        <v>51.744999999999997</v>
      </c>
      <c r="AA50" s="50">
        <v>49.034999999999997</v>
      </c>
      <c r="AB50" s="50">
        <v>49.034999999999997</v>
      </c>
      <c r="AC50" s="50">
        <v>48.125</v>
      </c>
      <c r="AD50" s="50">
        <v>45.43</v>
      </c>
      <c r="AE50" s="50">
        <v>40.935000000000002</v>
      </c>
      <c r="AF50" s="50">
        <v>38.284999999999997</v>
      </c>
      <c r="AG50" s="50">
        <v>35.174999999999997</v>
      </c>
      <c r="AH50" s="50">
        <v>31.63</v>
      </c>
      <c r="AI50" s="50">
        <v>30.33</v>
      </c>
      <c r="AJ50" s="50">
        <v>27.684999999999999</v>
      </c>
      <c r="AK50" s="50">
        <v>26.375</v>
      </c>
      <c r="AL50" s="50">
        <v>22.805</v>
      </c>
      <c r="AM50" s="50">
        <v>20.145</v>
      </c>
      <c r="AN50" s="50">
        <v>18.835000000000001</v>
      </c>
      <c r="AO50" s="50">
        <v>17.524999999999999</v>
      </c>
      <c r="AP50" s="50">
        <v>15.32</v>
      </c>
      <c r="AQ50" s="50">
        <v>12.66</v>
      </c>
      <c r="AR50" s="50">
        <v>10.050000000000001</v>
      </c>
      <c r="AS50" s="50">
        <v>8.7200000000000006</v>
      </c>
      <c r="AT50" s="50">
        <v>7.41</v>
      </c>
      <c r="AU50" s="50">
        <v>7.41</v>
      </c>
      <c r="AV50" s="50">
        <v>7.41</v>
      </c>
      <c r="AW50" s="50">
        <v>7.41</v>
      </c>
      <c r="AX50" s="50">
        <v>7.41</v>
      </c>
      <c r="AY50" s="50">
        <v>5.9550000000000001</v>
      </c>
      <c r="AZ50" s="50">
        <v>4.5</v>
      </c>
      <c r="BA50" s="50">
        <v>3.05</v>
      </c>
      <c r="BB50" s="50">
        <v>1.6</v>
      </c>
      <c r="BC50" s="50">
        <v>1.6</v>
      </c>
      <c r="BD50" s="50">
        <v>1.6</v>
      </c>
      <c r="BE50" s="50">
        <v>1.6</v>
      </c>
      <c r="BF50" s="50">
        <v>1.6</v>
      </c>
      <c r="BG50" s="50">
        <v>1.6</v>
      </c>
      <c r="BH50" s="50">
        <v>1.6</v>
      </c>
      <c r="BI50" s="50">
        <v>1.6</v>
      </c>
      <c r="BJ50" t="e">
        <v>#N/A</v>
      </c>
    </row>
    <row r="51" spans="1:62" x14ac:dyDescent="0.3">
      <c r="A51" s="47" t="s">
        <v>264</v>
      </c>
      <c r="B51" s="62" t="s">
        <v>430</v>
      </c>
      <c r="C51" s="47" t="s">
        <v>380</v>
      </c>
      <c r="D51" s="47" t="s">
        <v>383</v>
      </c>
      <c r="E51" s="63"/>
      <c r="F51" s="61" t="s">
        <v>386</v>
      </c>
      <c r="G51" s="47" t="s">
        <v>50</v>
      </c>
      <c r="H51" s="47" t="s">
        <v>476</v>
      </c>
      <c r="I51" s="49" t="s">
        <v>502</v>
      </c>
      <c r="J51" s="50">
        <v>4.9120400000000002</v>
      </c>
      <c r="K51" s="50">
        <v>5.2260299999999997</v>
      </c>
      <c r="L51" s="50">
        <v>6.7504200000000001</v>
      </c>
      <c r="M51" s="50">
        <v>7.8022099999999996</v>
      </c>
      <c r="N51" s="50">
        <v>8.7469099999999997</v>
      </c>
      <c r="O51" s="50">
        <v>10.6351</v>
      </c>
      <c r="P51" s="50">
        <v>12.65555</v>
      </c>
      <c r="Q51" s="50">
        <v>14.55555</v>
      </c>
      <c r="R51" s="50">
        <v>16.455549999999999</v>
      </c>
      <c r="S51" s="50">
        <v>18.355550000000001</v>
      </c>
      <c r="T51" s="50">
        <v>20.255549999999999</v>
      </c>
      <c r="U51" s="50">
        <v>22.155550000000002</v>
      </c>
      <c r="V51" s="50">
        <v>24.056629999999998</v>
      </c>
      <c r="W51" s="50">
        <v>25.960730000000002</v>
      </c>
      <c r="X51" s="50">
        <v>27.869440000000001</v>
      </c>
      <c r="Y51" s="50">
        <v>29.784009999999999</v>
      </c>
      <c r="Z51" s="50">
        <v>31.705359999999999</v>
      </c>
      <c r="AA51" s="50">
        <v>33.634050000000002</v>
      </c>
      <c r="AB51" s="50">
        <v>35.570320000000002</v>
      </c>
      <c r="AC51" s="50">
        <v>37.514040000000001</v>
      </c>
      <c r="AD51" s="50">
        <v>39.464759999999998</v>
      </c>
      <c r="AE51" s="50">
        <v>41.421689999999998</v>
      </c>
      <c r="AF51" s="50">
        <v>43.383679999999998</v>
      </c>
      <c r="AG51" s="50">
        <v>45.349260000000001</v>
      </c>
      <c r="AH51" s="50">
        <v>47.316609999999997</v>
      </c>
      <c r="AI51" s="50">
        <v>49.283549999999998</v>
      </c>
      <c r="AJ51" s="50">
        <v>51.247599999999998</v>
      </c>
      <c r="AK51" s="50">
        <v>53.205889999999997</v>
      </c>
      <c r="AL51" s="50">
        <v>55.155250000000002</v>
      </c>
      <c r="AM51" s="50">
        <v>57.092140000000001</v>
      </c>
      <c r="AN51" s="50">
        <v>59.012689999999999</v>
      </c>
      <c r="AO51" s="50">
        <v>60.912689999999998</v>
      </c>
      <c r="AP51" s="50">
        <v>62.741039999999998</v>
      </c>
      <c r="AQ51" s="50">
        <v>64.414299999999997</v>
      </c>
      <c r="AR51" s="50">
        <v>65.870419999999996</v>
      </c>
      <c r="AS51" s="50">
        <v>67.068830000000005</v>
      </c>
      <c r="AT51" s="50">
        <v>67.990369999999999</v>
      </c>
      <c r="AU51" s="50">
        <v>68.637309999999999</v>
      </c>
      <c r="AV51" s="50">
        <v>69.033360000000002</v>
      </c>
      <c r="AW51" s="50">
        <v>69.223680000000002</v>
      </c>
      <c r="AX51" s="50">
        <v>69.274829999999994</v>
      </c>
      <c r="AY51" s="50">
        <v>69.274829999999994</v>
      </c>
      <c r="AZ51" s="50">
        <v>69.274829999999994</v>
      </c>
      <c r="BA51" s="50">
        <v>69.274829999999994</v>
      </c>
      <c r="BB51" s="50">
        <v>69.274829999999994</v>
      </c>
      <c r="BC51" s="50">
        <v>69.274829999999994</v>
      </c>
      <c r="BD51" s="50">
        <v>69.274829999999994</v>
      </c>
      <c r="BE51" s="50">
        <v>69.274829999999994</v>
      </c>
      <c r="BF51" s="50">
        <v>69.274829999999994</v>
      </c>
      <c r="BG51" s="50">
        <v>69.274829999999994</v>
      </c>
      <c r="BH51" s="50">
        <v>69.274829999999994</v>
      </c>
      <c r="BI51" s="50">
        <v>69.274829999999994</v>
      </c>
    </row>
    <row r="52" spans="1:62" x14ac:dyDescent="0.3">
      <c r="A52" s="47" t="s">
        <v>264</v>
      </c>
      <c r="B52" s="62" t="s">
        <v>430</v>
      </c>
      <c r="C52" s="47" t="s">
        <v>381</v>
      </c>
      <c r="D52" s="47" t="s">
        <v>383</v>
      </c>
      <c r="E52" s="63"/>
      <c r="F52" s="61" t="s">
        <v>387</v>
      </c>
      <c r="G52" s="47" t="s">
        <v>50</v>
      </c>
      <c r="H52" s="47" t="s">
        <v>477</v>
      </c>
      <c r="I52" s="49" t="s">
        <v>502</v>
      </c>
      <c r="J52" s="50">
        <v>3.0178500000000001</v>
      </c>
      <c r="K52" s="50">
        <v>3.4681500000000001</v>
      </c>
      <c r="L52" s="50">
        <v>4.4279999999999999</v>
      </c>
      <c r="M52" s="50">
        <v>5.31</v>
      </c>
      <c r="N52" s="50">
        <v>6.6612</v>
      </c>
      <c r="O52" s="50">
        <v>9.49925</v>
      </c>
      <c r="P52" s="50">
        <v>13.05325</v>
      </c>
      <c r="Q52" s="50">
        <v>16.393249999999998</v>
      </c>
      <c r="R52" s="50">
        <v>19.45082</v>
      </c>
      <c r="S52" s="50">
        <v>22.22392</v>
      </c>
      <c r="T52" s="50">
        <v>24.76726</v>
      </c>
      <c r="U52" s="50">
        <v>27.192260000000001</v>
      </c>
      <c r="V52" s="50">
        <v>29.575710000000001</v>
      </c>
      <c r="W52" s="50">
        <v>31.921669999999999</v>
      </c>
      <c r="X52" s="50">
        <v>34.233780000000003</v>
      </c>
      <c r="Y52" s="50">
        <v>36.515279999999997</v>
      </c>
      <c r="Z52" s="50">
        <v>38.768990000000002</v>
      </c>
      <c r="AA52" s="50">
        <v>40.997349999999997</v>
      </c>
      <c r="AB52" s="50">
        <v>43.202359999999999</v>
      </c>
      <c r="AC52" s="50">
        <v>45.385649999999998</v>
      </c>
      <c r="AD52" s="50">
        <v>47.548400000000001</v>
      </c>
      <c r="AE52" s="50">
        <v>49.691420000000001</v>
      </c>
      <c r="AF52" s="50">
        <v>51.815109999999997</v>
      </c>
      <c r="AG52" s="50">
        <v>53.919429999999998</v>
      </c>
      <c r="AH52" s="50">
        <v>56.003970000000002</v>
      </c>
      <c r="AI52" s="50">
        <v>58.067889999999998</v>
      </c>
      <c r="AJ52" s="50">
        <v>60.109960000000001</v>
      </c>
      <c r="AK52" s="50">
        <v>62.128529999999998</v>
      </c>
      <c r="AL52" s="50">
        <v>64.121560000000002</v>
      </c>
      <c r="AM52" s="50">
        <v>66.086569999999995</v>
      </c>
      <c r="AN52" s="50">
        <v>68.020719999999997</v>
      </c>
      <c r="AO52" s="50">
        <v>69.920720000000003</v>
      </c>
      <c r="AP52" s="50">
        <v>71.781909999999996</v>
      </c>
      <c r="AQ52" s="50">
        <v>73.598669999999998</v>
      </c>
      <c r="AR52" s="50">
        <v>75.365620000000007</v>
      </c>
      <c r="AS52" s="50">
        <v>77.077640000000002</v>
      </c>
      <c r="AT52" s="50">
        <v>78.729830000000007</v>
      </c>
      <c r="AU52" s="50">
        <v>80.317549999999997</v>
      </c>
      <c r="AV52" s="50">
        <v>81.836399999999998</v>
      </c>
      <c r="AW52" s="50">
        <v>83.282250000000005</v>
      </c>
      <c r="AX52" s="50">
        <v>84.651160000000004</v>
      </c>
      <c r="AY52" s="50">
        <v>85.939499999999995</v>
      </c>
      <c r="AZ52" s="50">
        <v>87.143829999999994</v>
      </c>
      <c r="BA52" s="50">
        <v>88.260990000000007</v>
      </c>
      <c r="BB52" s="50">
        <v>89.288049999999998</v>
      </c>
      <c r="BC52" s="50">
        <v>90.222340000000003</v>
      </c>
      <c r="BD52" s="50">
        <v>91.061400000000006</v>
      </c>
      <c r="BE52" s="50">
        <v>91.803049999999999</v>
      </c>
      <c r="BF52" s="50">
        <v>92.445350000000005</v>
      </c>
      <c r="BG52" s="50">
        <v>92.986590000000007</v>
      </c>
      <c r="BH52" s="50">
        <v>93.425319999999999</v>
      </c>
      <c r="BI52" s="50">
        <v>93.760319999999993</v>
      </c>
    </row>
    <row r="53" spans="1:62" x14ac:dyDescent="0.3">
      <c r="A53" s="47" t="s">
        <v>264</v>
      </c>
      <c r="B53" s="62" t="s">
        <v>430</v>
      </c>
      <c r="C53" s="47" t="s">
        <v>382</v>
      </c>
      <c r="D53" s="47" t="s">
        <v>383</v>
      </c>
      <c r="E53" s="63"/>
      <c r="F53" s="61" t="s">
        <v>388</v>
      </c>
      <c r="G53" s="47" t="s">
        <v>50</v>
      </c>
      <c r="H53" s="47" t="s">
        <v>478</v>
      </c>
      <c r="I53" s="49" t="s">
        <v>502</v>
      </c>
      <c r="J53" s="50">
        <v>1.7974000000000001</v>
      </c>
      <c r="K53" s="50">
        <v>1.95225</v>
      </c>
      <c r="L53" s="50">
        <v>2.2011500000000002</v>
      </c>
      <c r="M53" s="50">
        <v>2.5935000000000001</v>
      </c>
      <c r="N53" s="50">
        <v>3.4437500000000001</v>
      </c>
      <c r="O53" s="50">
        <v>4.6996500000000001</v>
      </c>
      <c r="P53" s="50">
        <v>5.6581999999999999</v>
      </c>
      <c r="Q53" s="50">
        <v>6.3582000000000001</v>
      </c>
      <c r="R53" s="50">
        <v>7.21929</v>
      </c>
      <c r="S53" s="50">
        <v>8.2430400000000006</v>
      </c>
      <c r="T53" s="50">
        <v>9.3925699999999992</v>
      </c>
      <c r="U53" s="50">
        <v>10.59257</v>
      </c>
      <c r="V53" s="50">
        <v>11.791840000000001</v>
      </c>
      <c r="W53" s="50">
        <v>12.988939999999999</v>
      </c>
      <c r="X53" s="50">
        <v>14.18252</v>
      </c>
      <c r="Y53" s="50">
        <v>15.371320000000001</v>
      </c>
      <c r="Z53" s="50">
        <v>16.55414</v>
      </c>
      <c r="AA53" s="50">
        <v>17.729839999999999</v>
      </c>
      <c r="AB53" s="50">
        <v>18.897379999999998</v>
      </c>
      <c r="AC53" s="50">
        <v>20.055769999999999</v>
      </c>
      <c r="AD53" s="50">
        <v>21.204139999999999</v>
      </c>
      <c r="AE53" s="50">
        <v>22.341640000000002</v>
      </c>
      <c r="AF53" s="50">
        <v>23.46753</v>
      </c>
      <c r="AG53" s="50">
        <v>24.581130000000002</v>
      </c>
      <c r="AH53" s="50">
        <v>25.681840000000001</v>
      </c>
      <c r="AI53" s="50">
        <v>26.76914</v>
      </c>
      <c r="AJ53" s="50">
        <v>27.842580000000002</v>
      </c>
      <c r="AK53" s="50">
        <v>28.901779999999999</v>
      </c>
      <c r="AL53" s="50">
        <v>29.946439999999999</v>
      </c>
      <c r="AM53" s="50">
        <v>30.97634</v>
      </c>
      <c r="AN53" s="50">
        <v>31.991320000000002</v>
      </c>
      <c r="AO53" s="50">
        <v>32.991320000000002</v>
      </c>
      <c r="AP53" s="50">
        <v>33.975340000000003</v>
      </c>
      <c r="AQ53" s="50">
        <v>34.94144</v>
      </c>
      <c r="AR53" s="50">
        <v>35.887770000000003</v>
      </c>
      <c r="AS53" s="50">
        <v>36.812570000000001</v>
      </c>
      <c r="AT53" s="50">
        <v>37.71414</v>
      </c>
      <c r="AU53" s="50">
        <v>38.59084</v>
      </c>
      <c r="AV53" s="50">
        <v>39.441119999999998</v>
      </c>
      <c r="AW53" s="50">
        <v>40.26352</v>
      </c>
      <c r="AX53" s="50">
        <v>41.056640000000002</v>
      </c>
      <c r="AY53" s="50">
        <v>41.819139999999997</v>
      </c>
      <c r="AZ53" s="50">
        <v>42.549770000000002</v>
      </c>
      <c r="BA53" s="50">
        <v>43.247369999999997</v>
      </c>
      <c r="BB53" s="50">
        <v>43.91084</v>
      </c>
      <c r="BC53" s="50">
        <v>44.539140000000003</v>
      </c>
      <c r="BD53" s="50">
        <v>45.131320000000002</v>
      </c>
      <c r="BE53" s="50">
        <v>45.686520000000002</v>
      </c>
      <c r="BF53" s="50">
        <v>46.203940000000003</v>
      </c>
      <c r="BG53" s="50">
        <v>46.682839999999999</v>
      </c>
      <c r="BH53" s="50">
        <v>47.122570000000003</v>
      </c>
      <c r="BI53" s="50">
        <v>47.522570000000002</v>
      </c>
    </row>
    <row r="54" spans="1:62" x14ac:dyDescent="0.3">
      <c r="A54" s="47" t="s">
        <v>264</v>
      </c>
      <c r="B54" s="62" t="s">
        <v>430</v>
      </c>
      <c r="C54" s="47" t="s">
        <v>366</v>
      </c>
      <c r="D54" s="47" t="s">
        <v>172</v>
      </c>
      <c r="E54" s="47"/>
      <c r="F54" s="61" t="str">
        <f t="shared" ref="F54" si="7">"Capacité installée " &amp; LOWER(D54)</f>
        <v>Capacité installée eolien onshore</v>
      </c>
      <c r="G54" s="47" t="s">
        <v>50</v>
      </c>
      <c r="H54" s="47" t="s">
        <v>267</v>
      </c>
      <c r="I54" s="49" t="s">
        <v>581</v>
      </c>
      <c r="J54" s="50">
        <v>16.510999999999999</v>
      </c>
      <c r="K54" s="50">
        <v>17.616</v>
      </c>
      <c r="L54" s="50">
        <v>18.757809999999999</v>
      </c>
      <c r="M54" s="50">
        <v>20.860479999999999</v>
      </c>
      <c r="N54" s="50">
        <v>22.252479999999998</v>
      </c>
      <c r="O54" s="50">
        <v>23.587150000000001</v>
      </c>
      <c r="P54" s="50">
        <v>25.107150000000001</v>
      </c>
      <c r="Q54" s="50">
        <v>26.569990000000001</v>
      </c>
      <c r="R54" s="50">
        <v>28.034880000000001</v>
      </c>
      <c r="S54" s="50">
        <v>29.68713</v>
      </c>
      <c r="T54" s="50">
        <v>31.537710000000001</v>
      </c>
      <c r="U54" s="50">
        <v>33.409390000000002</v>
      </c>
      <c r="V54" s="50">
        <v>35.432250000000003</v>
      </c>
      <c r="W54" s="50">
        <v>37.568460000000002</v>
      </c>
      <c r="X54" s="50">
        <v>39.71378</v>
      </c>
      <c r="Y54" s="50">
        <v>41.909309999999998</v>
      </c>
      <c r="Z54" s="50">
        <v>44.147550000000003</v>
      </c>
      <c r="AA54" s="50">
        <v>46.417999999999999</v>
      </c>
      <c r="AB54" s="50">
        <v>48.718359999999997</v>
      </c>
      <c r="AC54" s="50">
        <v>51.045720000000003</v>
      </c>
      <c r="AD54" s="50">
        <v>53.395350000000001</v>
      </c>
      <c r="AE54" s="50">
        <v>55.579340000000002</v>
      </c>
      <c r="AF54" s="50">
        <v>57.633029999999998</v>
      </c>
      <c r="AG54" s="50">
        <v>59.659089999999999</v>
      </c>
      <c r="AH54" s="50">
        <v>61.638289999999998</v>
      </c>
      <c r="AI54" s="50">
        <v>63.553579999999997</v>
      </c>
      <c r="AJ54" s="50">
        <v>65.343410000000006</v>
      </c>
      <c r="AK54" s="50">
        <v>67.067859999999996</v>
      </c>
      <c r="AL54" s="50">
        <v>68.692160000000001</v>
      </c>
      <c r="AM54" s="50">
        <v>70.300870000000003</v>
      </c>
      <c r="AN54" s="50">
        <v>71.676500000000004</v>
      </c>
      <c r="AO54" s="50">
        <v>72.968890000000002</v>
      </c>
      <c r="AP54" s="50">
        <v>74.115279999999998</v>
      </c>
      <c r="AQ54" s="50">
        <v>75.191779999999994</v>
      </c>
      <c r="AR54" s="50">
        <v>76.073419999999999</v>
      </c>
      <c r="AS54" s="50">
        <v>76.902889999999999</v>
      </c>
      <c r="AT54" s="50">
        <v>77.698660000000004</v>
      </c>
      <c r="AU54" s="50">
        <v>78.396240000000006</v>
      </c>
      <c r="AV54" s="50">
        <v>79.045720000000003</v>
      </c>
      <c r="AW54" s="50">
        <v>79.637180000000001</v>
      </c>
      <c r="AX54" s="50">
        <v>80.176739999999995</v>
      </c>
      <c r="AY54" s="50">
        <v>80.655379999999994</v>
      </c>
      <c r="AZ54" s="50">
        <v>81.089870000000005</v>
      </c>
      <c r="BA54" s="50">
        <v>81.448930000000004</v>
      </c>
      <c r="BB54" s="50">
        <v>81.723709999999997</v>
      </c>
      <c r="BC54" s="50">
        <v>81.925780000000003</v>
      </c>
      <c r="BD54" s="50">
        <v>82.05753</v>
      </c>
      <c r="BE54" s="50">
        <v>82.123779999999996</v>
      </c>
      <c r="BF54" s="50">
        <v>82.114019999999996</v>
      </c>
      <c r="BG54" s="50">
        <v>82.06832</v>
      </c>
      <c r="BH54" s="50">
        <v>81.980630000000005</v>
      </c>
      <c r="BI54" s="50">
        <v>81.847560000000001</v>
      </c>
      <c r="BJ54" t="s">
        <v>511</v>
      </c>
    </row>
    <row r="55" spans="1:62" x14ac:dyDescent="0.3">
      <c r="A55" s="47" t="s">
        <v>264</v>
      </c>
      <c r="B55" s="62" t="s">
        <v>430</v>
      </c>
      <c r="C55" s="47" t="s">
        <v>378</v>
      </c>
      <c r="D55" s="47" t="s">
        <v>260</v>
      </c>
      <c r="E55" s="63"/>
      <c r="F55" s="61" t="s">
        <v>384</v>
      </c>
      <c r="G55" s="47" t="s">
        <v>50</v>
      </c>
      <c r="H55" s="47" t="s">
        <v>480</v>
      </c>
      <c r="I55" s="49" t="s">
        <v>581</v>
      </c>
      <c r="J55" s="50">
        <v>0</v>
      </c>
      <c r="K55" s="50">
        <v>0</v>
      </c>
      <c r="L55" s="50">
        <v>2E-3</v>
      </c>
      <c r="M55" s="50">
        <v>8.3000000000000001E-3</v>
      </c>
      <c r="N55" s="50">
        <v>2.342E-2</v>
      </c>
      <c r="O55" s="50">
        <v>2.7199999999999998E-2</v>
      </c>
      <c r="P55" s="50">
        <v>6.3200000000000006E-2</v>
      </c>
      <c r="Q55" s="50">
        <v>8.72E-2</v>
      </c>
      <c r="R55" s="50">
        <v>8.72E-2</v>
      </c>
      <c r="S55" s="50">
        <v>8.72E-2</v>
      </c>
      <c r="T55" s="50">
        <v>8.72E-2</v>
      </c>
      <c r="U55" s="50">
        <v>8.72E-2</v>
      </c>
      <c r="V55" s="50">
        <v>0.23719999999999999</v>
      </c>
      <c r="W55" s="50">
        <v>0.93720000000000003</v>
      </c>
      <c r="X55" s="50">
        <v>1.6372</v>
      </c>
      <c r="Y55" s="50">
        <v>2.7972000000000001</v>
      </c>
      <c r="Z55" s="50">
        <v>4.9371999999999998</v>
      </c>
      <c r="AA55" s="50">
        <v>6.6571999999999996</v>
      </c>
      <c r="AB55" s="50">
        <v>9.2371999999999996</v>
      </c>
      <c r="AC55" s="50">
        <v>10.6372</v>
      </c>
      <c r="AD55" s="50">
        <v>12.7372</v>
      </c>
      <c r="AE55" s="50">
        <v>14.1372</v>
      </c>
      <c r="AF55" s="50">
        <v>15.6372</v>
      </c>
      <c r="AG55" s="50">
        <v>16.6372</v>
      </c>
      <c r="AH55" s="50">
        <v>18.1372</v>
      </c>
      <c r="AI55" s="50">
        <v>19.1372</v>
      </c>
      <c r="AJ55" s="50">
        <v>20.6372</v>
      </c>
      <c r="AK55" s="50">
        <v>21.6372</v>
      </c>
      <c r="AL55" s="50">
        <v>22.84038</v>
      </c>
      <c r="AM55" s="50">
        <v>23.64931</v>
      </c>
      <c r="AN55" s="50">
        <v>24.868500000000001</v>
      </c>
      <c r="AO55" s="50">
        <v>25.671469999999999</v>
      </c>
      <c r="AP55" s="50">
        <v>26.89547</v>
      </c>
      <c r="AQ55" s="50">
        <v>27.731470000000002</v>
      </c>
      <c r="AR55" s="50">
        <v>27.731470000000002</v>
      </c>
      <c r="AS55" s="50">
        <v>27.731470000000002</v>
      </c>
      <c r="AT55" s="50">
        <v>27.731470000000002</v>
      </c>
      <c r="AU55" s="50">
        <v>27.731470000000002</v>
      </c>
      <c r="AV55" s="50">
        <v>27.846170000000001</v>
      </c>
      <c r="AW55" s="50">
        <v>28.312840000000001</v>
      </c>
      <c r="AX55" s="50">
        <v>28.7181</v>
      </c>
      <c r="AY55" s="50">
        <v>29.298100000000002</v>
      </c>
      <c r="AZ55" s="50">
        <v>30.215250000000001</v>
      </c>
      <c r="BA55" s="50">
        <v>30.884139999999999</v>
      </c>
      <c r="BB55" s="50">
        <v>31.790620000000001</v>
      </c>
      <c r="BC55" s="50">
        <v>32.232729999999997</v>
      </c>
      <c r="BD55" s="50">
        <v>32.825029999999998</v>
      </c>
      <c r="BE55" s="50">
        <v>33.17503</v>
      </c>
      <c r="BF55" s="50">
        <v>33.504300000000001</v>
      </c>
      <c r="BG55" s="50">
        <v>33.694780000000002</v>
      </c>
      <c r="BH55" s="50">
        <v>33.938969999999998</v>
      </c>
      <c r="BI55" s="50">
        <v>34.075330000000001</v>
      </c>
    </row>
    <row r="56" spans="1:62" x14ac:dyDescent="0.3">
      <c r="A56" s="47" t="s">
        <v>264</v>
      </c>
      <c r="B56" s="62" t="s">
        <v>430</v>
      </c>
      <c r="C56" s="47" t="s">
        <v>379</v>
      </c>
      <c r="D56" s="47" t="s">
        <v>260</v>
      </c>
      <c r="E56" s="63"/>
      <c r="F56" s="61" t="s">
        <v>385</v>
      </c>
      <c r="G56" s="47" t="s">
        <v>50</v>
      </c>
      <c r="H56" s="47" t="s">
        <v>481</v>
      </c>
      <c r="I56" s="49" t="s">
        <v>581</v>
      </c>
      <c r="J56" s="50">
        <v>0</v>
      </c>
      <c r="K56" s="50">
        <v>0</v>
      </c>
      <c r="L56" s="50">
        <v>0</v>
      </c>
      <c r="M56" s="50">
        <v>0.57940000000000003</v>
      </c>
      <c r="N56" s="50">
        <v>0.82789999999999997</v>
      </c>
      <c r="O56" s="50">
        <v>1.3242</v>
      </c>
      <c r="P56" s="50">
        <v>1.8839999999999999</v>
      </c>
      <c r="Q56" s="50">
        <v>2.2746</v>
      </c>
      <c r="R56" s="50">
        <v>2.7562000000000002</v>
      </c>
      <c r="S56" s="50">
        <v>2.9049999999999998</v>
      </c>
      <c r="T56" s="50">
        <v>3.3250000000000002</v>
      </c>
      <c r="U56" s="50">
        <v>3.5049999999999999</v>
      </c>
      <c r="V56" s="50">
        <v>4.2050000000000001</v>
      </c>
      <c r="W56" s="50">
        <v>4.5049999999999999</v>
      </c>
      <c r="X56" s="50">
        <v>5.2549999999999999</v>
      </c>
      <c r="Y56" s="50">
        <v>6.7050000000000001</v>
      </c>
      <c r="Z56" s="50">
        <v>7.7050000000000001</v>
      </c>
      <c r="AA56" s="50">
        <v>8.7050000000000001</v>
      </c>
      <c r="AB56" s="50">
        <v>9.7050000000000001</v>
      </c>
      <c r="AC56" s="50">
        <v>11.205</v>
      </c>
      <c r="AD56" s="50">
        <v>12.005000000000001</v>
      </c>
      <c r="AE56" s="50">
        <v>13.205</v>
      </c>
      <c r="AF56" s="50">
        <v>14.005000000000001</v>
      </c>
      <c r="AG56" s="50">
        <v>14.505000000000001</v>
      </c>
      <c r="AH56" s="50">
        <v>15.333320000000001</v>
      </c>
      <c r="AI56" s="50">
        <v>16.06362</v>
      </c>
      <c r="AJ56" s="50">
        <v>16.950520000000001</v>
      </c>
      <c r="AK56" s="50">
        <v>17.17764</v>
      </c>
      <c r="AL56" s="50">
        <v>17.539929999999998</v>
      </c>
      <c r="AM56" s="50">
        <v>17.845189999999999</v>
      </c>
      <c r="AN56" s="50">
        <v>17.924060000000001</v>
      </c>
      <c r="AO56" s="50">
        <v>18.10886</v>
      </c>
      <c r="AP56" s="50">
        <v>18.171859999999999</v>
      </c>
      <c r="AQ56" s="50">
        <v>18.361270000000001</v>
      </c>
      <c r="AR56" s="50">
        <v>18.42127</v>
      </c>
      <c r="AS56" s="50">
        <v>18.523900000000001</v>
      </c>
      <c r="AT56" s="50">
        <v>18.639900000000001</v>
      </c>
      <c r="AU56" s="50">
        <v>18.668469999999999</v>
      </c>
      <c r="AV56" s="50">
        <v>18.672260000000001</v>
      </c>
      <c r="AW56" s="50">
        <v>18.638539999999999</v>
      </c>
      <c r="AX56" s="50">
        <v>18.55808</v>
      </c>
      <c r="AY56" s="50">
        <v>18.49108</v>
      </c>
      <c r="AZ56" s="50">
        <v>18.380479999999999</v>
      </c>
      <c r="BA56" s="50">
        <v>18.276</v>
      </c>
      <c r="BB56" s="50">
        <v>18.182020000000001</v>
      </c>
      <c r="BC56" s="50">
        <v>18.076180000000001</v>
      </c>
      <c r="BD56" s="50">
        <v>17.959160000000001</v>
      </c>
      <c r="BE56" s="50">
        <v>17.831569999999999</v>
      </c>
      <c r="BF56" s="50">
        <v>17.831569999999999</v>
      </c>
      <c r="BG56" s="50">
        <v>17.831569999999999</v>
      </c>
      <c r="BH56" s="50">
        <v>17.791409999999999</v>
      </c>
      <c r="BI56" s="50">
        <v>17.766210000000001</v>
      </c>
    </row>
    <row r="57" spans="1:62" x14ac:dyDescent="0.3">
      <c r="A57" s="47" t="s">
        <v>264</v>
      </c>
      <c r="B57" s="62" t="s">
        <v>430</v>
      </c>
      <c r="C57" s="47" t="s">
        <v>452</v>
      </c>
      <c r="D57" s="47" t="s">
        <v>450</v>
      </c>
      <c r="E57" s="63"/>
      <c r="F57" s="61" t="str">
        <f t="shared" ref="F57:F60" si="8">"Capacité installée " &amp; LOWER(D57)</f>
        <v>Capacité installée hydro (lac)</v>
      </c>
      <c r="G57" s="47" t="s">
        <v>50</v>
      </c>
      <c r="H57" s="47" t="s">
        <v>483</v>
      </c>
      <c r="I57" s="49" t="s">
        <v>582</v>
      </c>
      <c r="J57" s="50">
        <v>12.970129999999999</v>
      </c>
      <c r="K57" s="50">
        <v>13.002470000000001</v>
      </c>
      <c r="L57" s="50">
        <v>12.74301</v>
      </c>
      <c r="M57" s="50">
        <v>13.026730000000001</v>
      </c>
      <c r="N57" s="50">
        <v>13.02665</v>
      </c>
      <c r="O57" s="50">
        <v>13.03119</v>
      </c>
      <c r="P57" s="50">
        <v>13.03119</v>
      </c>
      <c r="Q57" s="50">
        <v>13.03119</v>
      </c>
      <c r="R57" s="50">
        <v>13.03119</v>
      </c>
      <c r="S57" s="50">
        <v>13.03119</v>
      </c>
      <c r="T57" s="50">
        <v>13.03119</v>
      </c>
      <c r="U57" s="50">
        <v>13.03119</v>
      </c>
      <c r="V57" s="50">
        <v>13.03119</v>
      </c>
      <c r="W57" s="50">
        <v>13.03119</v>
      </c>
      <c r="X57" s="50">
        <v>13.03119</v>
      </c>
      <c r="Y57" s="50">
        <v>13.03119</v>
      </c>
      <c r="Z57" s="50">
        <v>13.03119</v>
      </c>
      <c r="AA57" s="50">
        <v>13.03119</v>
      </c>
      <c r="AB57" s="50">
        <v>13.03119</v>
      </c>
      <c r="AC57" s="50">
        <v>13.03119</v>
      </c>
      <c r="AD57" s="50">
        <v>13.03119</v>
      </c>
      <c r="AE57" s="50">
        <v>13.03119</v>
      </c>
      <c r="AF57" s="50">
        <v>13.03119</v>
      </c>
      <c r="AG57" s="50">
        <v>13.03119</v>
      </c>
      <c r="AH57" s="50">
        <v>13.03119</v>
      </c>
      <c r="AI57" s="50">
        <v>13.03119</v>
      </c>
      <c r="AJ57" s="50">
        <v>13.03119</v>
      </c>
      <c r="AK57" s="50">
        <v>13.03119</v>
      </c>
      <c r="AL57" s="50">
        <v>13.03119</v>
      </c>
      <c r="AM57" s="50">
        <v>13.03119</v>
      </c>
      <c r="AN57" s="50">
        <v>13.03119</v>
      </c>
      <c r="AO57" s="50">
        <v>13.03119</v>
      </c>
      <c r="AP57" s="50">
        <v>13.03119</v>
      </c>
      <c r="AQ57" s="50">
        <v>13.03119</v>
      </c>
      <c r="AR57" s="50">
        <v>13.03119</v>
      </c>
      <c r="AS57" s="50">
        <v>13.03119</v>
      </c>
      <c r="AT57" s="50">
        <v>13.03119</v>
      </c>
      <c r="AU57" s="50">
        <v>13.03119</v>
      </c>
      <c r="AV57" s="50">
        <v>13.03119</v>
      </c>
      <c r="AW57" s="50">
        <v>13.03119</v>
      </c>
      <c r="AX57" s="50">
        <v>13.03119</v>
      </c>
      <c r="AY57" s="50">
        <v>13.03119</v>
      </c>
      <c r="AZ57" s="50">
        <v>13.03119</v>
      </c>
      <c r="BA57" s="50">
        <v>13.03119</v>
      </c>
      <c r="BB57" s="50">
        <v>13.03119</v>
      </c>
      <c r="BC57" s="50">
        <v>13.03119</v>
      </c>
      <c r="BD57" s="50">
        <v>13.03119</v>
      </c>
      <c r="BE57" s="50">
        <v>13.03119</v>
      </c>
      <c r="BF57" s="50">
        <v>13.03119</v>
      </c>
      <c r="BG57" s="50">
        <v>13.03119</v>
      </c>
      <c r="BH57" s="50">
        <v>13.03119</v>
      </c>
      <c r="BI57" s="50">
        <v>13.03119</v>
      </c>
    </row>
    <row r="58" spans="1:62" x14ac:dyDescent="0.3">
      <c r="A58" s="47" t="s">
        <v>264</v>
      </c>
      <c r="B58" s="62" t="s">
        <v>430</v>
      </c>
      <c r="C58" s="47" t="s">
        <v>453</v>
      </c>
      <c r="D58" s="47" t="s">
        <v>451</v>
      </c>
      <c r="E58" s="63"/>
      <c r="F58" s="61" t="str">
        <f t="shared" si="8"/>
        <v>Capacité installée hydro (fil de l'eau)</v>
      </c>
      <c r="G58" s="47" t="s">
        <v>50</v>
      </c>
      <c r="H58" s="47" t="s">
        <v>482</v>
      </c>
      <c r="I58" s="49" t="s">
        <v>582</v>
      </c>
      <c r="J58" s="50">
        <v>7.6</v>
      </c>
      <c r="K58" s="50">
        <v>7.6</v>
      </c>
      <c r="L58" s="50">
        <v>7.6</v>
      </c>
      <c r="M58" s="50">
        <v>7.6</v>
      </c>
      <c r="N58" s="50">
        <v>7.6</v>
      </c>
      <c r="O58" s="50">
        <v>7.6</v>
      </c>
      <c r="P58" s="50">
        <v>7.6</v>
      </c>
      <c r="Q58" s="50">
        <v>7.6</v>
      </c>
      <c r="R58" s="50">
        <v>7.6</v>
      </c>
      <c r="S58" s="50">
        <v>7.6</v>
      </c>
      <c r="T58" s="50">
        <v>7.6</v>
      </c>
      <c r="U58" s="50">
        <v>7.6</v>
      </c>
      <c r="V58" s="50">
        <v>7.6</v>
      </c>
      <c r="W58" s="50">
        <v>7.6</v>
      </c>
      <c r="X58" s="50">
        <v>7.6</v>
      </c>
      <c r="Y58" s="50">
        <v>7.6</v>
      </c>
      <c r="Z58" s="50">
        <v>7.6</v>
      </c>
      <c r="AA58" s="50">
        <v>7.6</v>
      </c>
      <c r="AB58" s="50">
        <v>7.6</v>
      </c>
      <c r="AC58" s="50">
        <v>7.6</v>
      </c>
      <c r="AD58" s="50">
        <v>7.6</v>
      </c>
      <c r="AE58" s="50">
        <v>7.6</v>
      </c>
      <c r="AF58" s="50">
        <v>7.6</v>
      </c>
      <c r="AG58" s="50">
        <v>7.6</v>
      </c>
      <c r="AH58" s="50">
        <v>7.6</v>
      </c>
      <c r="AI58" s="50">
        <v>7.6</v>
      </c>
      <c r="AJ58" s="50">
        <v>7.6</v>
      </c>
      <c r="AK58" s="50">
        <v>7.6</v>
      </c>
      <c r="AL58" s="50">
        <v>7.6</v>
      </c>
      <c r="AM58" s="50">
        <v>7.6</v>
      </c>
      <c r="AN58" s="50">
        <v>7.6</v>
      </c>
      <c r="AO58" s="50">
        <v>7.6</v>
      </c>
      <c r="AP58" s="50">
        <v>7.6</v>
      </c>
      <c r="AQ58" s="50">
        <v>7.6</v>
      </c>
      <c r="AR58" s="50">
        <v>7.6</v>
      </c>
      <c r="AS58" s="50">
        <v>7.6</v>
      </c>
      <c r="AT58" s="50">
        <v>7.6</v>
      </c>
      <c r="AU58" s="50">
        <v>7.6</v>
      </c>
      <c r="AV58" s="50">
        <v>7.6</v>
      </c>
      <c r="AW58" s="50">
        <v>7.6</v>
      </c>
      <c r="AX58" s="50">
        <v>7.6</v>
      </c>
      <c r="AY58" s="50">
        <v>7.6</v>
      </c>
      <c r="AZ58" s="50">
        <v>7.6</v>
      </c>
      <c r="BA58" s="50">
        <v>7.6</v>
      </c>
      <c r="BB58" s="50">
        <v>7.6</v>
      </c>
      <c r="BC58" s="50">
        <v>7.6</v>
      </c>
      <c r="BD58" s="50">
        <v>7.6</v>
      </c>
      <c r="BE58" s="50">
        <v>7.6</v>
      </c>
      <c r="BF58" s="50">
        <v>7.6</v>
      </c>
      <c r="BG58" s="50">
        <v>7.6</v>
      </c>
      <c r="BH58" s="50">
        <v>7.6</v>
      </c>
      <c r="BI58" s="50">
        <v>7.6</v>
      </c>
    </row>
    <row r="59" spans="1:62" ht="14.55" customHeight="1" x14ac:dyDescent="0.3">
      <c r="A59" s="47" t="s">
        <v>264</v>
      </c>
      <c r="B59" s="62" t="s">
        <v>430</v>
      </c>
      <c r="C59" s="47" t="s">
        <v>367</v>
      </c>
      <c r="D59" s="47" t="s">
        <v>266</v>
      </c>
      <c r="E59" s="47"/>
      <c r="F59" s="61" t="str">
        <f t="shared" si="8"/>
        <v>Capacité installée energies marines (marémoteur, vagues, houle...)</v>
      </c>
      <c r="G59" s="47" t="s">
        <v>50</v>
      </c>
      <c r="H59" s="47" t="s">
        <v>265</v>
      </c>
      <c r="I59" s="49" t="s">
        <v>582</v>
      </c>
      <c r="J59" s="50">
        <v>0.25</v>
      </c>
      <c r="K59" s="50">
        <v>0.25</v>
      </c>
      <c r="L59" s="50">
        <v>0.25</v>
      </c>
      <c r="M59" s="50">
        <v>0.25</v>
      </c>
      <c r="N59" s="50">
        <v>0.25</v>
      </c>
      <c r="O59" s="50">
        <v>0.25</v>
      </c>
      <c r="P59" s="50">
        <v>0.25</v>
      </c>
      <c r="Q59" s="50">
        <v>0.25</v>
      </c>
      <c r="R59" s="50">
        <v>0.25</v>
      </c>
      <c r="S59" s="50">
        <v>0.25</v>
      </c>
      <c r="T59" s="50">
        <v>0.25</v>
      </c>
      <c r="U59" s="50">
        <v>0.25</v>
      </c>
      <c r="V59" s="50">
        <v>0.25</v>
      </c>
      <c r="W59" s="50">
        <v>0.5</v>
      </c>
      <c r="X59" s="50">
        <v>0.5</v>
      </c>
      <c r="Y59" s="50">
        <v>0.5</v>
      </c>
      <c r="Z59" s="50">
        <v>0.5</v>
      </c>
      <c r="AA59" s="50">
        <v>0.50848000000000004</v>
      </c>
      <c r="AB59" s="50">
        <v>0.53247</v>
      </c>
      <c r="AC59" s="50">
        <v>0.56974000000000002</v>
      </c>
      <c r="AD59" s="50">
        <v>0.61809000000000003</v>
      </c>
      <c r="AE59" s="50">
        <v>0.67532000000000003</v>
      </c>
      <c r="AF59" s="50">
        <v>0.73921000000000003</v>
      </c>
      <c r="AG59" s="50">
        <v>0.80757000000000001</v>
      </c>
      <c r="AH59" s="50">
        <v>0.87817000000000001</v>
      </c>
      <c r="AI59" s="50">
        <v>0.94882</v>
      </c>
      <c r="AJ59" s="50">
        <v>1.0173000000000001</v>
      </c>
      <c r="AK59" s="50">
        <v>1.08142</v>
      </c>
      <c r="AL59" s="50">
        <v>1.1389499999999999</v>
      </c>
      <c r="AM59" s="50">
        <v>1.1877</v>
      </c>
      <c r="AN59" s="50">
        <v>1.2254499999999999</v>
      </c>
      <c r="AO59" s="50">
        <v>1.25</v>
      </c>
      <c r="AP59" s="50">
        <v>1.26698</v>
      </c>
      <c r="AQ59" s="50">
        <v>1.28349</v>
      </c>
      <c r="AR59" s="50">
        <v>1.2994600000000001</v>
      </c>
      <c r="AS59" s="50">
        <v>1.31487</v>
      </c>
      <c r="AT59" s="50">
        <v>1.3296600000000001</v>
      </c>
      <c r="AU59" s="50">
        <v>1.3438099999999999</v>
      </c>
      <c r="AV59" s="50">
        <v>1.3572599999999999</v>
      </c>
      <c r="AW59" s="50">
        <v>1.3699699999999999</v>
      </c>
      <c r="AX59" s="50">
        <v>1.38191</v>
      </c>
      <c r="AY59" s="50">
        <v>1.39303</v>
      </c>
      <c r="AZ59" s="50">
        <v>1.4032899999999999</v>
      </c>
      <c r="BA59" s="50">
        <v>1.41265</v>
      </c>
      <c r="BB59" s="50">
        <v>1.42106</v>
      </c>
      <c r="BC59" s="50">
        <v>1.42849</v>
      </c>
      <c r="BD59" s="50">
        <v>1.43489</v>
      </c>
      <c r="BE59" s="50">
        <v>1.4402200000000001</v>
      </c>
      <c r="BF59" s="50">
        <v>1.4444300000000001</v>
      </c>
      <c r="BG59" s="50">
        <v>1.4475</v>
      </c>
      <c r="BH59" s="50">
        <v>1.44937</v>
      </c>
      <c r="BI59" s="50">
        <v>1.45</v>
      </c>
      <c r="BJ59" t="s">
        <v>512</v>
      </c>
    </row>
    <row r="60" spans="1:62" ht="14.55" customHeight="1" x14ac:dyDescent="0.3">
      <c r="A60" s="47" t="s">
        <v>264</v>
      </c>
      <c r="B60" s="62" t="s">
        <v>430</v>
      </c>
      <c r="C60" s="47" t="s">
        <v>368</v>
      </c>
      <c r="D60" s="47" t="s">
        <v>257</v>
      </c>
      <c r="E60" s="47"/>
      <c r="F60" s="61" t="str">
        <f t="shared" si="8"/>
        <v>Capacité installée géothermie haute température</v>
      </c>
      <c r="G60" s="47" t="s">
        <v>50</v>
      </c>
      <c r="H60" s="47" t="s">
        <v>263</v>
      </c>
      <c r="I60" s="49" t="s">
        <v>582</v>
      </c>
      <c r="J60" s="50">
        <v>8.9999999999999998E-4</v>
      </c>
      <c r="K60" s="50">
        <v>5.9000000000000003E-4</v>
      </c>
      <c r="L60" s="50">
        <v>9.1E-4</v>
      </c>
      <c r="M60" s="50">
        <v>8.4000000000000003E-4</v>
      </c>
      <c r="N60" s="50">
        <v>7.2000000000000005E-4</v>
      </c>
      <c r="O60" s="50">
        <v>7.2000000000000005E-4</v>
      </c>
      <c r="P60" s="50">
        <v>1.25E-3</v>
      </c>
      <c r="Q60" s="50">
        <v>1.65E-3</v>
      </c>
      <c r="R60" s="50">
        <v>2.2799999999999999E-3</v>
      </c>
      <c r="S60" s="50">
        <v>3.0699999999999998E-3</v>
      </c>
      <c r="T60" s="50">
        <v>4.0000000000000001E-3</v>
      </c>
      <c r="U60" s="50">
        <v>5.0000000000000001E-3</v>
      </c>
      <c r="V60" s="50">
        <v>6.8700000000000002E-3</v>
      </c>
      <c r="W60" s="50">
        <v>1.031E-2</v>
      </c>
      <c r="X60" s="50">
        <v>1.5129999999999999E-2</v>
      </c>
      <c r="Y60" s="50">
        <v>2.1160000000000002E-2</v>
      </c>
      <c r="Z60" s="50">
        <v>2.8209999999999999E-2</v>
      </c>
      <c r="AA60" s="50">
        <v>3.6110000000000003E-2</v>
      </c>
      <c r="AB60" s="50">
        <v>4.4679999999999997E-2</v>
      </c>
      <c r="AC60" s="50">
        <v>5.373E-2</v>
      </c>
      <c r="AD60" s="50">
        <v>6.3089999999999993E-2</v>
      </c>
      <c r="AE60" s="50">
        <v>7.2580000000000006E-2</v>
      </c>
      <c r="AF60" s="50">
        <v>8.201E-2</v>
      </c>
      <c r="AG60" s="50">
        <v>9.1219999999999996E-2</v>
      </c>
      <c r="AH60" s="50">
        <v>0.10001</v>
      </c>
      <c r="AI60" s="50">
        <v>0.10822</v>
      </c>
      <c r="AJ60" s="50">
        <v>0.11565</v>
      </c>
      <c r="AK60" s="50">
        <v>0.12214</v>
      </c>
      <c r="AL60" s="50">
        <v>0.1275</v>
      </c>
      <c r="AM60" s="50">
        <v>0.13155</v>
      </c>
      <c r="AN60" s="50">
        <v>0.13411000000000001</v>
      </c>
      <c r="AO60" s="50">
        <v>0.13500000000000001</v>
      </c>
      <c r="AP60" s="50">
        <v>0.13500000000000001</v>
      </c>
      <c r="AQ60" s="50">
        <v>0.13500000000000001</v>
      </c>
      <c r="AR60" s="50">
        <v>0.13500000000000001</v>
      </c>
      <c r="AS60" s="50">
        <v>0.13500000000000001</v>
      </c>
      <c r="AT60" s="50">
        <v>0.13500000000000001</v>
      </c>
      <c r="AU60" s="50">
        <v>0.13500000000000001</v>
      </c>
      <c r="AV60" s="50">
        <v>0.13500000000000001</v>
      </c>
      <c r="AW60" s="50">
        <v>0.13500000000000001</v>
      </c>
      <c r="AX60" s="50">
        <v>0.13500000000000001</v>
      </c>
      <c r="AY60" s="50">
        <v>0.13500000000000001</v>
      </c>
      <c r="AZ60" s="50">
        <v>0.13500000000000001</v>
      </c>
      <c r="BA60" s="50">
        <v>0.13500000000000001</v>
      </c>
      <c r="BB60" s="50">
        <v>0.13500000000000001</v>
      </c>
      <c r="BC60" s="50">
        <v>0.13500000000000001</v>
      </c>
      <c r="BD60" s="50">
        <v>0.13500000000000001</v>
      </c>
      <c r="BE60" s="50">
        <v>0.13500000000000001</v>
      </c>
      <c r="BF60" s="50">
        <v>0.13500000000000001</v>
      </c>
      <c r="BG60" s="50">
        <v>0.13500000000000001</v>
      </c>
      <c r="BH60" s="50">
        <v>0.13500000000000001</v>
      </c>
      <c r="BI60" s="50">
        <v>0.13500000000000001</v>
      </c>
      <c r="BJ60" t="s">
        <v>513</v>
      </c>
    </row>
    <row r="61" spans="1:62" x14ac:dyDescent="0.3">
      <c r="A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</row>
    <row r="62" spans="1:62" x14ac:dyDescent="0.3">
      <c r="A62" s="47" t="s">
        <v>258</v>
      </c>
      <c r="B62" s="59" t="s">
        <v>484</v>
      </c>
      <c r="C62" s="47" t="s">
        <v>164</v>
      </c>
      <c r="D62" s="47" t="s">
        <v>163</v>
      </c>
      <c r="E62" s="47"/>
      <c r="F62" s="47" t="str">
        <f t="shared" ref="F62:F68" si="9">"Facteur de charge " &amp; LOWER(D62)</f>
        <v>Facteur de charge nucléaire</v>
      </c>
      <c r="G62" s="47" t="s">
        <v>162</v>
      </c>
      <c r="H62" s="47" t="s">
        <v>161</v>
      </c>
      <c r="I62" s="49" t="s">
        <v>501</v>
      </c>
      <c r="J62" s="64">
        <v>0.68616999999999995</v>
      </c>
      <c r="K62" s="64">
        <v>0.62360000000000004</v>
      </c>
      <c r="L62" s="64">
        <v>0.67061999999999999</v>
      </c>
      <c r="M62" s="64">
        <v>0.51922999999999997</v>
      </c>
      <c r="N62" s="64">
        <v>0.59570999999999996</v>
      </c>
      <c r="O62" s="64">
        <v>0.65542999999999996</v>
      </c>
      <c r="P62" s="64">
        <v>0.68005000000000004</v>
      </c>
      <c r="Q62" s="64">
        <v>0.67064000000000001</v>
      </c>
      <c r="R62" s="64">
        <v>0.64476</v>
      </c>
      <c r="S62" s="64">
        <v>0.63175999999999999</v>
      </c>
      <c r="T62" s="64">
        <v>0.64683000000000002</v>
      </c>
      <c r="U62" s="64">
        <v>0.61029</v>
      </c>
      <c r="V62" s="64">
        <v>0.59823999999999999</v>
      </c>
      <c r="W62" s="64">
        <v>0.65227000000000002</v>
      </c>
      <c r="X62" s="64">
        <v>0.62924000000000002</v>
      </c>
      <c r="Y62" s="64">
        <v>0.61085</v>
      </c>
      <c r="Z62" s="64">
        <v>0.58398000000000005</v>
      </c>
      <c r="AA62" s="64">
        <v>0.59131999999999996</v>
      </c>
      <c r="AB62" s="64">
        <v>0.55230999999999997</v>
      </c>
      <c r="AC62" s="64">
        <v>0.53410000000000002</v>
      </c>
      <c r="AD62" s="64">
        <v>0.58774000000000004</v>
      </c>
      <c r="AE62" s="64">
        <v>0.59723000000000004</v>
      </c>
      <c r="AF62" s="64">
        <v>0.58374999999999999</v>
      </c>
      <c r="AG62" s="64">
        <v>0.57815000000000005</v>
      </c>
      <c r="AH62" s="64">
        <v>0.51029999999999998</v>
      </c>
      <c r="AI62" s="64">
        <v>0.52651999999999999</v>
      </c>
      <c r="AJ62" s="64">
        <v>0.55810999999999999</v>
      </c>
      <c r="AK62" s="64">
        <v>0.52578999999999998</v>
      </c>
      <c r="AL62" s="64">
        <v>0.60763999999999996</v>
      </c>
      <c r="AM62" s="64">
        <v>0.55781999999999998</v>
      </c>
      <c r="AN62" s="64">
        <v>0.59774000000000005</v>
      </c>
      <c r="AO62" s="64">
        <v>0.50836999999999999</v>
      </c>
      <c r="AP62" s="64">
        <v>0.56113000000000002</v>
      </c>
      <c r="AQ62" s="64">
        <v>0.64185000000000003</v>
      </c>
      <c r="AR62" s="64">
        <v>0.51875000000000004</v>
      </c>
      <c r="AS62" s="64">
        <v>0.63534000000000002</v>
      </c>
      <c r="AT62" s="64">
        <v>0.74766999999999995</v>
      </c>
      <c r="AU62" s="64">
        <v>0.70089999999999997</v>
      </c>
      <c r="AV62" s="64">
        <v>0.56188000000000005</v>
      </c>
      <c r="AW62" s="64">
        <v>0.34723999999999999</v>
      </c>
      <c r="AX62" s="64">
        <v>0.33235999999999999</v>
      </c>
      <c r="AY62" s="64">
        <v>0.24635000000000001</v>
      </c>
      <c r="AZ62" s="64">
        <v>0.44422</v>
      </c>
      <c r="BA62" s="64">
        <v>0.81430000000000002</v>
      </c>
      <c r="BB62" s="64">
        <v>0.63537999999999994</v>
      </c>
      <c r="BC62" s="64">
        <v>0.45968999999999999</v>
      </c>
      <c r="BD62" s="64">
        <v>0.91686999999999996</v>
      </c>
      <c r="BE62" s="64">
        <v>0.91686999999999996</v>
      </c>
      <c r="BF62" s="64">
        <v>0.91686999999999996</v>
      </c>
      <c r="BG62" s="64">
        <v>0.91686999999999996</v>
      </c>
      <c r="BH62" s="64">
        <v>0.91686999999999996</v>
      </c>
      <c r="BI62" s="64">
        <v>0.91686999999999996</v>
      </c>
      <c r="BJ62" t="e">
        <v>#N/A</v>
      </c>
    </row>
    <row r="63" spans="1:62" x14ac:dyDescent="0.3">
      <c r="A63" s="47" t="s">
        <v>258</v>
      </c>
      <c r="B63" s="59" t="s">
        <v>484</v>
      </c>
      <c r="C63" s="47" t="s">
        <v>369</v>
      </c>
      <c r="D63" s="47" t="s">
        <v>262</v>
      </c>
      <c r="E63" s="47"/>
      <c r="F63" s="47" t="str">
        <f t="shared" si="9"/>
        <v>Facteur de charge pv</v>
      </c>
      <c r="G63" s="47" t="s">
        <v>162</v>
      </c>
      <c r="H63" s="47" t="s">
        <v>261</v>
      </c>
      <c r="I63" s="49" t="s">
        <v>502</v>
      </c>
      <c r="J63" s="64">
        <v>0.13669000000000001</v>
      </c>
      <c r="K63" s="64">
        <v>0.13635</v>
      </c>
      <c r="L63" s="64">
        <v>0.12695999999999999</v>
      </c>
      <c r="M63" s="64">
        <v>0.13915</v>
      </c>
      <c r="N63" s="64">
        <v>0.12891</v>
      </c>
      <c r="O63" s="64">
        <v>0.10614</v>
      </c>
      <c r="P63" s="64">
        <v>0.1196</v>
      </c>
      <c r="Q63" s="64">
        <v>0.12728999999999999</v>
      </c>
      <c r="R63" s="64">
        <v>0.12711</v>
      </c>
      <c r="S63" s="64">
        <v>0.12703999999999999</v>
      </c>
      <c r="T63" s="64">
        <v>0.12703</v>
      </c>
      <c r="U63" s="64">
        <v>0.12703</v>
      </c>
      <c r="V63" s="64">
        <v>0.12705</v>
      </c>
      <c r="W63" s="64">
        <v>0.12706000000000001</v>
      </c>
      <c r="X63" s="64">
        <v>0.12708</v>
      </c>
      <c r="Y63" s="64">
        <v>0.12709000000000001</v>
      </c>
      <c r="Z63" s="64">
        <v>0.12711</v>
      </c>
      <c r="AA63" s="64">
        <v>0.12712999999999999</v>
      </c>
      <c r="AB63" s="64">
        <v>0.12715000000000001</v>
      </c>
      <c r="AC63" s="64">
        <v>0.12717000000000001</v>
      </c>
      <c r="AD63" s="64">
        <v>0.12719</v>
      </c>
      <c r="AE63" s="64">
        <v>0.12720000000000001</v>
      </c>
      <c r="AF63" s="64">
        <v>0.12722</v>
      </c>
      <c r="AG63" s="64">
        <v>0.12723999999999999</v>
      </c>
      <c r="AH63" s="64">
        <v>0.12726000000000001</v>
      </c>
      <c r="AI63" s="64">
        <v>0.12726999999999999</v>
      </c>
      <c r="AJ63" s="64">
        <v>0.12728999999999999</v>
      </c>
      <c r="AK63" s="64">
        <v>0.12731000000000001</v>
      </c>
      <c r="AL63" s="64">
        <v>0.12731999999999999</v>
      </c>
      <c r="AM63" s="64">
        <v>0.12734000000000001</v>
      </c>
      <c r="AN63" s="64">
        <v>0.12734999999999999</v>
      </c>
      <c r="AO63" s="64">
        <v>0.12737000000000001</v>
      </c>
      <c r="AP63" s="64">
        <v>0.12737999999999999</v>
      </c>
      <c r="AQ63" s="64">
        <v>0.12737999999999999</v>
      </c>
      <c r="AR63" s="64">
        <v>0.12737999999999999</v>
      </c>
      <c r="AS63" s="64">
        <v>0.12737000000000001</v>
      </c>
      <c r="AT63" s="64">
        <v>0.12734999999999999</v>
      </c>
      <c r="AU63" s="64">
        <v>0.12731999999999999</v>
      </c>
      <c r="AV63" s="64">
        <v>0.12728999999999999</v>
      </c>
      <c r="AW63" s="64">
        <v>0.12725</v>
      </c>
      <c r="AX63" s="64">
        <v>0.12720999999999999</v>
      </c>
      <c r="AY63" s="64">
        <v>0.12717000000000001</v>
      </c>
      <c r="AZ63" s="64">
        <v>0.12714</v>
      </c>
      <c r="BA63" s="64">
        <v>0.12711</v>
      </c>
      <c r="BB63" s="64">
        <v>0.12708</v>
      </c>
      <c r="BC63" s="64">
        <v>0.12705</v>
      </c>
      <c r="BD63" s="64">
        <v>0.12703</v>
      </c>
      <c r="BE63" s="64">
        <v>0.12701000000000001</v>
      </c>
      <c r="BF63" s="64">
        <v>0.127</v>
      </c>
      <c r="BG63" s="64">
        <v>0.12698999999999999</v>
      </c>
      <c r="BH63" s="64">
        <v>0.12698000000000001</v>
      </c>
      <c r="BI63" s="64">
        <v>0.12697</v>
      </c>
      <c r="BJ63" t="s">
        <v>514</v>
      </c>
    </row>
    <row r="64" spans="1:62" x14ac:dyDescent="0.3">
      <c r="A64" s="47" t="s">
        <v>258</v>
      </c>
      <c r="B64" s="59" t="s">
        <v>484</v>
      </c>
      <c r="C64" s="47" t="s">
        <v>173</v>
      </c>
      <c r="D64" s="47" t="s">
        <v>172</v>
      </c>
      <c r="E64" s="47"/>
      <c r="F64" s="47" t="str">
        <f t="shared" si="9"/>
        <v>Facteur de charge eolien onshore</v>
      </c>
      <c r="G64" s="47" t="s">
        <v>162</v>
      </c>
      <c r="H64" s="47" t="s">
        <v>171</v>
      </c>
      <c r="I64" s="49" t="s">
        <v>581</v>
      </c>
      <c r="J64" s="64">
        <v>0.23369000000000001</v>
      </c>
      <c r="K64" s="64">
        <v>0.25662000000000001</v>
      </c>
      <c r="L64" s="64">
        <v>0.22483</v>
      </c>
      <c r="M64" s="64">
        <v>0.20877999999999999</v>
      </c>
      <c r="N64" s="64">
        <v>0.25668000000000002</v>
      </c>
      <c r="O64" s="64">
        <v>0.2155</v>
      </c>
      <c r="P64" s="64">
        <v>0.21113000000000001</v>
      </c>
      <c r="Q64" s="64">
        <v>0.21299999999999999</v>
      </c>
      <c r="R64" s="64">
        <v>0.21793999999999999</v>
      </c>
      <c r="S64" s="64">
        <v>0.22255</v>
      </c>
      <c r="T64" s="64">
        <v>0.22700000000000001</v>
      </c>
      <c r="U64" s="64">
        <v>0.23078000000000001</v>
      </c>
      <c r="V64" s="64">
        <v>0.23375000000000001</v>
      </c>
      <c r="W64" s="64">
        <v>0.23669999999999999</v>
      </c>
      <c r="X64" s="64">
        <v>0.24057000000000001</v>
      </c>
      <c r="Y64" s="64">
        <v>0.24365000000000001</v>
      </c>
      <c r="Z64" s="64">
        <v>0.24804999999999999</v>
      </c>
      <c r="AA64" s="64">
        <v>0.25247000000000003</v>
      </c>
      <c r="AB64" s="64">
        <v>0.25602999999999998</v>
      </c>
      <c r="AC64" s="64">
        <v>0.25842999999999999</v>
      </c>
      <c r="AD64" s="64">
        <v>0.25996000000000002</v>
      </c>
      <c r="AE64" s="64">
        <v>0.26196999999999998</v>
      </c>
      <c r="AF64" s="64">
        <v>0.26422000000000001</v>
      </c>
      <c r="AG64" s="64">
        <v>0.26589000000000002</v>
      </c>
      <c r="AH64" s="64">
        <v>0.26738000000000001</v>
      </c>
      <c r="AI64" s="64">
        <v>0.26877000000000001</v>
      </c>
      <c r="AJ64" s="64">
        <v>0.27022000000000002</v>
      </c>
      <c r="AK64" s="64">
        <v>0.27171000000000001</v>
      </c>
      <c r="AL64" s="64">
        <v>0.27312999999999998</v>
      </c>
      <c r="AM64" s="64">
        <v>0.27460000000000001</v>
      </c>
      <c r="AN64" s="64">
        <v>0.27578999999999998</v>
      </c>
      <c r="AO64" s="64">
        <v>0.27698</v>
      </c>
      <c r="AP64" s="64">
        <v>0.27812999999999999</v>
      </c>
      <c r="AQ64" s="64">
        <v>0.27925</v>
      </c>
      <c r="AR64" s="64">
        <v>0.28027999999999997</v>
      </c>
      <c r="AS64" s="64">
        <v>0.28132000000000001</v>
      </c>
      <c r="AT64" s="64">
        <v>0.28237000000000001</v>
      </c>
      <c r="AU64" s="64">
        <v>0.28332000000000002</v>
      </c>
      <c r="AV64" s="64">
        <v>0.28427000000000002</v>
      </c>
      <c r="AW64" s="64">
        <v>0.28519</v>
      </c>
      <c r="AX64" s="64">
        <v>0.28619</v>
      </c>
      <c r="AY64" s="64">
        <v>0.28715000000000002</v>
      </c>
      <c r="AZ64" s="64">
        <v>0.28816999999999998</v>
      </c>
      <c r="BA64" s="64">
        <v>0.28921000000000002</v>
      </c>
      <c r="BB64" s="64">
        <v>0.29017999999999999</v>
      </c>
      <c r="BC64" s="64">
        <v>0.29107</v>
      </c>
      <c r="BD64" s="64">
        <v>0.29188999999999998</v>
      </c>
      <c r="BE64" s="64">
        <v>0.29261999999999999</v>
      </c>
      <c r="BF64" s="64">
        <v>0.29338999999999998</v>
      </c>
      <c r="BG64" s="64">
        <v>0.29403000000000001</v>
      </c>
      <c r="BH64" s="64">
        <v>0.29460999999999998</v>
      </c>
      <c r="BI64" s="64">
        <v>0.29515999999999998</v>
      </c>
      <c r="BJ64" t="s">
        <v>515</v>
      </c>
    </row>
    <row r="65" spans="1:62" x14ac:dyDescent="0.3">
      <c r="A65" s="47" t="s">
        <v>258</v>
      </c>
      <c r="B65" s="59" t="s">
        <v>484</v>
      </c>
      <c r="C65" s="47" t="s">
        <v>370</v>
      </c>
      <c r="D65" s="47" t="s">
        <v>260</v>
      </c>
      <c r="E65" s="47"/>
      <c r="F65" s="47" t="str">
        <f t="shared" si="9"/>
        <v>Facteur de charge eolien offshore</v>
      </c>
      <c r="G65" s="47" t="s">
        <v>162</v>
      </c>
      <c r="H65" s="47" t="s">
        <v>259</v>
      </c>
      <c r="I65" s="49" t="s">
        <v>581</v>
      </c>
      <c r="J65" s="64">
        <v>0</v>
      </c>
      <c r="K65" s="64">
        <v>0</v>
      </c>
      <c r="L65" s="64">
        <v>0.37747000000000003</v>
      </c>
      <c r="M65" s="64">
        <v>0.44130999999999998</v>
      </c>
      <c r="N65" s="64">
        <v>0.45826</v>
      </c>
      <c r="O65" s="64">
        <v>0.35721999999999998</v>
      </c>
      <c r="P65" s="64">
        <v>0.39185999999999999</v>
      </c>
      <c r="Q65" s="64">
        <v>0.42471999999999999</v>
      </c>
      <c r="R65" s="64">
        <v>0.41293999999999997</v>
      </c>
      <c r="S65" s="64">
        <v>0.41011999999999998</v>
      </c>
      <c r="T65" s="64">
        <v>0.40366999999999997</v>
      </c>
      <c r="U65" s="64">
        <v>0.40143000000000001</v>
      </c>
      <c r="V65" s="64">
        <v>0.39305000000000001</v>
      </c>
      <c r="W65" s="64">
        <v>0.38844000000000001</v>
      </c>
      <c r="X65" s="64">
        <v>0.38311000000000001</v>
      </c>
      <c r="Y65" s="64">
        <v>0.37774999999999997</v>
      </c>
      <c r="Z65" s="64">
        <v>0.37667</v>
      </c>
      <c r="AA65" s="64">
        <v>0.37628</v>
      </c>
      <c r="AB65" s="64">
        <v>0.37676999999999999</v>
      </c>
      <c r="AC65" s="64">
        <v>0.37623000000000001</v>
      </c>
      <c r="AD65" s="64">
        <v>0.37658000000000003</v>
      </c>
      <c r="AE65" s="64">
        <v>0.37640000000000001</v>
      </c>
      <c r="AF65" s="64">
        <v>0.37647999999999998</v>
      </c>
      <c r="AG65" s="64">
        <v>0.37665999999999999</v>
      </c>
      <c r="AH65" s="64">
        <v>0.37537999999999999</v>
      </c>
      <c r="AI65" s="64">
        <v>0.37469000000000002</v>
      </c>
      <c r="AJ65" s="64">
        <v>0.37763000000000002</v>
      </c>
      <c r="AK65" s="64">
        <v>0.37613999999999997</v>
      </c>
      <c r="AL65" s="64">
        <v>0.37458000000000002</v>
      </c>
      <c r="AM65" s="64">
        <v>0.37525999999999998</v>
      </c>
      <c r="AN65" s="64">
        <v>0.37598999999999999</v>
      </c>
      <c r="AO65" s="64">
        <v>0.37659999999999999</v>
      </c>
      <c r="AP65" s="64">
        <v>0.37730000000000002</v>
      </c>
      <c r="AQ65" s="64">
        <v>0.37796000000000002</v>
      </c>
      <c r="AR65" s="64">
        <v>0.37807000000000002</v>
      </c>
      <c r="AS65" s="64">
        <v>0.37834000000000001</v>
      </c>
      <c r="AT65" s="64">
        <v>0.37869999999999998</v>
      </c>
      <c r="AU65" s="64">
        <v>0.37896999999999997</v>
      </c>
      <c r="AV65" s="64">
        <v>0.37914999999999999</v>
      </c>
      <c r="AW65" s="64">
        <v>0.37973000000000001</v>
      </c>
      <c r="AX65" s="64">
        <v>0.38025999999999999</v>
      </c>
      <c r="AY65" s="64">
        <v>0.38085000000000002</v>
      </c>
      <c r="AZ65" s="64">
        <v>0.38205</v>
      </c>
      <c r="BA65" s="64">
        <v>0.38307000000000002</v>
      </c>
      <c r="BB65" s="64">
        <v>0.38436999999999999</v>
      </c>
      <c r="BC65" s="64">
        <v>0.38508999999999999</v>
      </c>
      <c r="BD65" s="64">
        <v>0.38605</v>
      </c>
      <c r="BE65" s="64">
        <v>0.38671</v>
      </c>
      <c r="BF65" s="64">
        <v>0.38723000000000002</v>
      </c>
      <c r="BG65" s="64">
        <v>0.38756000000000002</v>
      </c>
      <c r="BH65" s="64">
        <v>0.38823000000000002</v>
      </c>
      <c r="BI65" s="64">
        <v>0.38868000000000003</v>
      </c>
      <c r="BJ65" t="s">
        <v>516</v>
      </c>
    </row>
    <row r="66" spans="1:62" x14ac:dyDescent="0.3">
      <c r="A66" s="47" t="s">
        <v>258</v>
      </c>
      <c r="B66" s="59" t="s">
        <v>484</v>
      </c>
      <c r="C66" s="47" t="s">
        <v>170</v>
      </c>
      <c r="D66" s="47" t="s">
        <v>169</v>
      </c>
      <c r="E66" s="47"/>
      <c r="F66" s="47" t="str">
        <f t="shared" si="9"/>
        <v>Facteur de charge hydro</v>
      </c>
      <c r="G66" s="47" t="s">
        <v>162</v>
      </c>
      <c r="H66" s="47" t="s">
        <v>168</v>
      </c>
      <c r="I66" s="49" t="s">
        <v>582</v>
      </c>
      <c r="J66" s="64">
        <v>0.30712</v>
      </c>
      <c r="K66" s="64">
        <v>0.3377</v>
      </c>
      <c r="L66" s="64">
        <v>0.3251</v>
      </c>
      <c r="M66" s="64">
        <v>0.24201</v>
      </c>
      <c r="N66" s="64">
        <v>0.30459999999999998</v>
      </c>
      <c r="O66" s="64">
        <v>0.39234000000000002</v>
      </c>
      <c r="P66" s="64">
        <v>0.31922</v>
      </c>
      <c r="Q66" s="64">
        <v>0.31922</v>
      </c>
      <c r="R66" s="64">
        <v>0.31922</v>
      </c>
      <c r="S66" s="64">
        <v>0.31922</v>
      </c>
      <c r="T66" s="64">
        <v>0.31922</v>
      </c>
      <c r="U66" s="64">
        <v>0.31922</v>
      </c>
      <c r="V66" s="64">
        <v>0.31922</v>
      </c>
      <c r="W66" s="64">
        <v>0.31922</v>
      </c>
      <c r="X66" s="64">
        <v>0.31922</v>
      </c>
      <c r="Y66" s="64">
        <v>0.31922</v>
      </c>
      <c r="Z66" s="64">
        <v>0.31922</v>
      </c>
      <c r="AA66" s="64">
        <v>0.31922</v>
      </c>
      <c r="AB66" s="64">
        <v>0.31922</v>
      </c>
      <c r="AC66" s="64">
        <v>0.31922</v>
      </c>
      <c r="AD66" s="64">
        <v>0.31922</v>
      </c>
      <c r="AE66" s="64">
        <v>0.31922</v>
      </c>
      <c r="AF66" s="64">
        <v>0.31922</v>
      </c>
      <c r="AG66" s="64">
        <v>0.31922</v>
      </c>
      <c r="AH66" s="64">
        <v>0.31922</v>
      </c>
      <c r="AI66" s="64">
        <v>0.31922</v>
      </c>
      <c r="AJ66" s="64">
        <v>0.31922</v>
      </c>
      <c r="AK66" s="64">
        <v>0.31922</v>
      </c>
      <c r="AL66" s="64">
        <v>0.31922</v>
      </c>
      <c r="AM66" s="64">
        <v>0.31922</v>
      </c>
      <c r="AN66" s="64">
        <v>0.31922</v>
      </c>
      <c r="AO66" s="64">
        <v>0.31922</v>
      </c>
      <c r="AP66" s="64">
        <v>0.31922</v>
      </c>
      <c r="AQ66" s="64">
        <v>0.31922</v>
      </c>
      <c r="AR66" s="64">
        <v>0.31922</v>
      </c>
      <c r="AS66" s="64">
        <v>0.31922</v>
      </c>
      <c r="AT66" s="64">
        <v>0.31922</v>
      </c>
      <c r="AU66" s="64">
        <v>0.31922</v>
      </c>
      <c r="AV66" s="64">
        <v>0.31922</v>
      </c>
      <c r="AW66" s="64">
        <v>0.31922</v>
      </c>
      <c r="AX66" s="64">
        <v>0.31922</v>
      </c>
      <c r="AY66" s="64">
        <v>0.31922</v>
      </c>
      <c r="AZ66" s="64">
        <v>0.31922</v>
      </c>
      <c r="BA66" s="64">
        <v>0.31922</v>
      </c>
      <c r="BB66" s="64">
        <v>0.31922</v>
      </c>
      <c r="BC66" s="64">
        <v>0.31922</v>
      </c>
      <c r="BD66" s="64">
        <v>0.31922</v>
      </c>
      <c r="BE66" s="64">
        <v>0.31922</v>
      </c>
      <c r="BF66" s="64">
        <v>0.31922</v>
      </c>
      <c r="BG66" s="64">
        <v>0.31922</v>
      </c>
      <c r="BH66" s="64">
        <v>0.31922</v>
      </c>
      <c r="BI66" s="64">
        <v>0.31922</v>
      </c>
      <c r="BJ66" t="e">
        <v>#N/A</v>
      </c>
    </row>
    <row r="67" spans="1:62" x14ac:dyDescent="0.3">
      <c r="A67" s="47" t="s">
        <v>258</v>
      </c>
      <c r="B67" s="59" t="s">
        <v>484</v>
      </c>
      <c r="C67" s="47" t="s">
        <v>167</v>
      </c>
      <c r="D67" s="47" t="s">
        <v>166</v>
      </c>
      <c r="E67" s="47"/>
      <c r="F67" s="47" t="str">
        <f t="shared" si="9"/>
        <v>Facteur de charge energies marines</v>
      </c>
      <c r="G67" s="47" t="s">
        <v>162</v>
      </c>
      <c r="H67" s="47" t="s">
        <v>165</v>
      </c>
      <c r="I67" s="49" t="s">
        <v>582</v>
      </c>
      <c r="J67" s="64">
        <v>0.21603</v>
      </c>
      <c r="K67" s="64">
        <v>0.21729000000000001</v>
      </c>
      <c r="L67" s="64">
        <v>0.21820000000000001</v>
      </c>
      <c r="M67" s="64">
        <v>0.22122</v>
      </c>
      <c r="N67" s="64">
        <v>0.20263999999999999</v>
      </c>
      <c r="O67" s="64">
        <v>0.20945</v>
      </c>
      <c r="P67" s="64">
        <v>0.21808</v>
      </c>
      <c r="Q67" s="64">
        <v>0.21808</v>
      </c>
      <c r="R67" s="64">
        <v>0.21808</v>
      </c>
      <c r="S67" s="64">
        <v>0.21808</v>
      </c>
      <c r="T67" s="64">
        <v>0.21808</v>
      </c>
      <c r="U67" s="64">
        <v>0.21808</v>
      </c>
      <c r="V67" s="64">
        <v>0.21808</v>
      </c>
      <c r="W67" s="64">
        <v>0.29903999999999997</v>
      </c>
      <c r="X67" s="64">
        <v>0.29903999999999997</v>
      </c>
      <c r="Y67" s="64">
        <v>0.29903999999999997</v>
      </c>
      <c r="Z67" s="64">
        <v>0.29903999999999997</v>
      </c>
      <c r="AA67" s="64">
        <v>0.30038999999999999</v>
      </c>
      <c r="AB67" s="64">
        <v>0.30397999999999997</v>
      </c>
      <c r="AC67" s="64">
        <v>0.30895</v>
      </c>
      <c r="AD67" s="64">
        <v>0.31451000000000001</v>
      </c>
      <c r="AE67" s="64">
        <v>0.32006000000000001</v>
      </c>
      <c r="AF67" s="64">
        <v>0.32523999999999997</v>
      </c>
      <c r="AG67" s="64">
        <v>0.32987</v>
      </c>
      <c r="AH67" s="64">
        <v>0.33389999999999997</v>
      </c>
      <c r="AI67" s="64">
        <v>0.33733999999999997</v>
      </c>
      <c r="AJ67" s="64">
        <v>0.34021000000000001</v>
      </c>
      <c r="AK67" s="64">
        <v>0.34256999999999999</v>
      </c>
      <c r="AL67" s="64">
        <v>0.34445999999999999</v>
      </c>
      <c r="AM67" s="64">
        <v>0.34592000000000001</v>
      </c>
      <c r="AN67" s="64">
        <v>0.34697</v>
      </c>
      <c r="AO67" s="64">
        <v>0.34761999999999998</v>
      </c>
      <c r="AP67" s="64">
        <v>0.34805000000000003</v>
      </c>
      <c r="AQ67" s="64">
        <v>0.34845999999999999</v>
      </c>
      <c r="AR67" s="64">
        <v>0.34884999999999999</v>
      </c>
      <c r="AS67" s="64">
        <v>0.34921000000000002</v>
      </c>
      <c r="AT67" s="64">
        <v>0.34955999999999998</v>
      </c>
      <c r="AU67" s="64">
        <v>0.34988000000000002</v>
      </c>
      <c r="AV67" s="64">
        <v>0.35017999999999999</v>
      </c>
      <c r="AW67" s="64">
        <v>0.35044999999999998</v>
      </c>
      <c r="AX67" s="64">
        <v>0.35071000000000002</v>
      </c>
      <c r="AY67" s="64">
        <v>0.35093999999999997</v>
      </c>
      <c r="AZ67" s="64">
        <v>0.35115000000000002</v>
      </c>
      <c r="BA67" s="64">
        <v>0.35133999999999999</v>
      </c>
      <c r="BB67" s="64">
        <v>0.35150999999999999</v>
      </c>
      <c r="BC67" s="64">
        <v>0.35165999999999997</v>
      </c>
      <c r="BD67" s="64">
        <v>0.35178999999999999</v>
      </c>
      <c r="BE67" s="64">
        <v>0.35188999999999998</v>
      </c>
      <c r="BF67" s="64">
        <v>0.35198000000000002</v>
      </c>
      <c r="BG67" s="64">
        <v>0.35203000000000001</v>
      </c>
      <c r="BH67" s="64">
        <v>0.35206999999999999</v>
      </c>
      <c r="BI67" s="64">
        <v>0.35208</v>
      </c>
      <c r="BJ67" t="s">
        <v>517</v>
      </c>
    </row>
    <row r="68" spans="1:62" ht="15" customHeight="1" x14ac:dyDescent="0.3">
      <c r="A68" s="47" t="s">
        <v>258</v>
      </c>
      <c r="B68" s="59" t="s">
        <v>484</v>
      </c>
      <c r="C68" s="47" t="s">
        <v>371</v>
      </c>
      <c r="D68" s="47" t="s">
        <v>257</v>
      </c>
      <c r="E68" s="47"/>
      <c r="F68" s="47" t="str">
        <f t="shared" si="9"/>
        <v>Facteur de charge géothermie haute température</v>
      </c>
      <c r="G68" s="47" t="s">
        <v>162</v>
      </c>
      <c r="H68" s="47" t="s">
        <v>256</v>
      </c>
      <c r="I68" s="49" t="s">
        <v>582</v>
      </c>
      <c r="J68" s="64">
        <v>0.79908999999999997</v>
      </c>
      <c r="K68" s="64">
        <v>0.79908999999999997</v>
      </c>
      <c r="L68" s="64">
        <v>0.79908999999999997</v>
      </c>
      <c r="M68" s="64">
        <v>0.79908999999999997</v>
      </c>
      <c r="N68" s="64">
        <v>0.79908999999999997</v>
      </c>
      <c r="O68" s="64">
        <v>0.79908999999999997</v>
      </c>
      <c r="P68" s="64">
        <v>0.79908999999999997</v>
      </c>
      <c r="Q68" s="64">
        <v>0.79908999999999997</v>
      </c>
      <c r="R68" s="64">
        <v>0.79908999999999997</v>
      </c>
      <c r="S68" s="64">
        <v>0.79908999999999997</v>
      </c>
      <c r="T68" s="64">
        <v>0.79908999999999997</v>
      </c>
      <c r="U68" s="64">
        <v>0.79908999999999997</v>
      </c>
      <c r="V68" s="64">
        <v>0.79908999999999997</v>
      </c>
      <c r="W68" s="64">
        <v>0.79908999999999997</v>
      </c>
      <c r="X68" s="64">
        <v>0.79908999999999997</v>
      </c>
      <c r="Y68" s="64">
        <v>0.79908999999999997</v>
      </c>
      <c r="Z68" s="64">
        <v>0.79908999999999997</v>
      </c>
      <c r="AA68" s="64">
        <v>0.79908999999999997</v>
      </c>
      <c r="AB68" s="64">
        <v>0.79908999999999997</v>
      </c>
      <c r="AC68" s="64">
        <v>0.79908999999999997</v>
      </c>
      <c r="AD68" s="64">
        <v>0.79908999999999997</v>
      </c>
      <c r="AE68" s="64">
        <v>0.79908999999999997</v>
      </c>
      <c r="AF68" s="64">
        <v>0.79908999999999997</v>
      </c>
      <c r="AG68" s="64">
        <v>0.79908999999999997</v>
      </c>
      <c r="AH68" s="64">
        <v>0.79908999999999997</v>
      </c>
      <c r="AI68" s="64">
        <v>0.79908999999999997</v>
      </c>
      <c r="AJ68" s="64">
        <v>0.79908999999999997</v>
      </c>
      <c r="AK68" s="64">
        <v>0.79908999999999997</v>
      </c>
      <c r="AL68" s="64">
        <v>0.79908999999999997</v>
      </c>
      <c r="AM68" s="64">
        <v>0.79908999999999997</v>
      </c>
      <c r="AN68" s="64">
        <v>0.79908999999999997</v>
      </c>
      <c r="AO68" s="64">
        <v>0.79908999999999997</v>
      </c>
      <c r="AP68" s="64">
        <v>0.79908999999999997</v>
      </c>
      <c r="AQ68" s="64">
        <v>0.79908999999999997</v>
      </c>
      <c r="AR68" s="64">
        <v>0.79908999999999997</v>
      </c>
      <c r="AS68" s="64">
        <v>0.79908999999999997</v>
      </c>
      <c r="AT68" s="64">
        <v>0.79908999999999997</v>
      </c>
      <c r="AU68" s="64">
        <v>0.79908999999999997</v>
      </c>
      <c r="AV68" s="64">
        <v>0.79908999999999997</v>
      </c>
      <c r="AW68" s="64">
        <v>0.79908999999999997</v>
      </c>
      <c r="AX68" s="64">
        <v>0.79908999999999997</v>
      </c>
      <c r="AY68" s="64">
        <v>0.79908999999999997</v>
      </c>
      <c r="AZ68" s="64">
        <v>0.79908999999999997</v>
      </c>
      <c r="BA68" s="64">
        <v>0.79908999999999997</v>
      </c>
      <c r="BB68" s="64">
        <v>0.79908999999999997</v>
      </c>
      <c r="BC68" s="64">
        <v>0.79908999999999997</v>
      </c>
      <c r="BD68" s="64">
        <v>0.79908999999999997</v>
      </c>
      <c r="BE68" s="64">
        <v>0.79908999999999997</v>
      </c>
      <c r="BF68" s="64">
        <v>0.79908999999999997</v>
      </c>
      <c r="BG68" s="64">
        <v>0.79908999999999997</v>
      </c>
      <c r="BH68" s="64">
        <v>0.79908999999999997</v>
      </c>
      <c r="BI68" s="64">
        <v>0.79908999999999997</v>
      </c>
      <c r="BJ68" t="s">
        <v>518</v>
      </c>
    </row>
    <row r="69" spans="1:62" x14ac:dyDescent="0.3">
      <c r="A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</row>
    <row r="70" spans="1:62" ht="27.6" x14ac:dyDescent="0.3">
      <c r="A70" s="47" t="s">
        <v>255</v>
      </c>
      <c r="B70" s="62" t="s">
        <v>430</v>
      </c>
      <c r="C70" s="47" t="s">
        <v>181</v>
      </c>
      <c r="D70" s="47" t="s">
        <v>180</v>
      </c>
      <c r="E70" s="47"/>
      <c r="F70" s="47" t="s">
        <v>179</v>
      </c>
      <c r="G70" s="47" t="s">
        <v>162</v>
      </c>
      <c r="H70" s="47" t="s">
        <v>178</v>
      </c>
      <c r="I70" s="49" t="s">
        <v>619</v>
      </c>
      <c r="J70" s="64">
        <v>0.57487999999999995</v>
      </c>
      <c r="K70" s="64">
        <v>0.57487999999999995</v>
      </c>
      <c r="L70" s="64">
        <v>0.58221999999999996</v>
      </c>
      <c r="M70" s="64">
        <v>0.58489999999999998</v>
      </c>
      <c r="N70" s="64">
        <v>0.58825000000000005</v>
      </c>
      <c r="O70" s="64">
        <v>0.59231999999999996</v>
      </c>
      <c r="P70" s="64">
        <v>0.59711999999999998</v>
      </c>
      <c r="Q70" s="64">
        <v>0.60263</v>
      </c>
      <c r="R70" s="64">
        <v>0.60453999999999997</v>
      </c>
      <c r="S70" s="64">
        <v>0.60775000000000001</v>
      </c>
      <c r="T70" s="64">
        <v>0.61184000000000005</v>
      </c>
      <c r="U70" s="64">
        <v>0.61650000000000005</v>
      </c>
      <c r="V70" s="64">
        <v>0.62148000000000003</v>
      </c>
      <c r="W70" s="64">
        <v>0.62656999999999996</v>
      </c>
      <c r="X70" s="64">
        <v>0.63161</v>
      </c>
      <c r="Y70" s="64">
        <v>0.63644000000000001</v>
      </c>
      <c r="Z70" s="64">
        <v>0.64097000000000004</v>
      </c>
      <c r="AA70" s="64">
        <v>0.64510000000000001</v>
      </c>
      <c r="AB70" s="64">
        <v>0.64878999999999998</v>
      </c>
      <c r="AC70" s="64">
        <v>0.65202000000000004</v>
      </c>
      <c r="AD70" s="64">
        <v>0.65480000000000005</v>
      </c>
      <c r="AE70" s="64">
        <v>0.65715000000000001</v>
      </c>
      <c r="AF70" s="64">
        <v>0.66002000000000005</v>
      </c>
      <c r="AG70" s="64">
        <v>0.66191</v>
      </c>
      <c r="AH70" s="64">
        <v>0.66356000000000004</v>
      </c>
      <c r="AI70" s="64">
        <v>0.66500999999999999</v>
      </c>
      <c r="AJ70" s="64">
        <v>0.66630999999999996</v>
      </c>
      <c r="AK70" s="64">
        <v>0.66749999999999998</v>
      </c>
      <c r="AL70" s="64">
        <v>0.66861999999999999</v>
      </c>
      <c r="AM70" s="64">
        <v>0.66968000000000005</v>
      </c>
      <c r="AN70" s="64">
        <v>0.67069999999999996</v>
      </c>
      <c r="AO70" s="64">
        <v>0.67191000000000001</v>
      </c>
      <c r="AP70" s="64">
        <v>0.67271000000000003</v>
      </c>
      <c r="AQ70" s="64">
        <v>0.67349999999999999</v>
      </c>
      <c r="AR70" s="64">
        <v>0.67425000000000002</v>
      </c>
      <c r="AS70" s="64">
        <v>0.67493000000000003</v>
      </c>
      <c r="AT70" s="64">
        <v>0.67554999999999998</v>
      </c>
      <c r="AU70" s="64">
        <v>0.67634000000000005</v>
      </c>
      <c r="AV70" s="64">
        <v>0.67688999999999999</v>
      </c>
      <c r="AW70" s="64">
        <v>0.67739000000000005</v>
      </c>
      <c r="AX70" s="64">
        <v>0.67784999999999995</v>
      </c>
      <c r="AY70" s="64">
        <v>0.67827000000000004</v>
      </c>
      <c r="AZ70" s="64">
        <v>0.67866000000000004</v>
      </c>
      <c r="BA70" s="64">
        <v>0.67903999999999998</v>
      </c>
      <c r="BB70" s="64">
        <v>0.6794</v>
      </c>
      <c r="BC70" s="64">
        <v>0.67974999999999997</v>
      </c>
      <c r="BD70" s="64">
        <v>0.68018000000000001</v>
      </c>
      <c r="BE70" s="64">
        <v>0.68047000000000002</v>
      </c>
      <c r="BF70" s="64">
        <v>0.68074999999999997</v>
      </c>
      <c r="BG70" s="64">
        <v>0.68101</v>
      </c>
      <c r="BH70" s="64">
        <v>0.68125999999999998</v>
      </c>
      <c r="BI70" s="64">
        <v>0.68147000000000002</v>
      </c>
      <c r="BJ70" t="e">
        <v>#N/A</v>
      </c>
    </row>
    <row r="71" spans="1:62" ht="27.6" x14ac:dyDescent="0.3">
      <c r="A71" s="47" t="s">
        <v>255</v>
      </c>
      <c r="B71" s="62" t="s">
        <v>430</v>
      </c>
      <c r="C71" s="47" t="s">
        <v>177</v>
      </c>
      <c r="D71" s="47" t="s">
        <v>176</v>
      </c>
      <c r="E71" s="47"/>
      <c r="F71" s="47" t="s">
        <v>175</v>
      </c>
      <c r="G71" s="47" t="s">
        <v>162</v>
      </c>
      <c r="H71" s="47" t="s">
        <v>174</v>
      </c>
      <c r="I71" s="49" t="s">
        <v>620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0.82833000000000001</v>
      </c>
      <c r="W71" s="64">
        <v>0.82833000000000001</v>
      </c>
      <c r="X71" s="64">
        <v>0.82833000000000001</v>
      </c>
      <c r="Y71" s="64">
        <v>0.82833000000000001</v>
      </c>
      <c r="Z71" s="64">
        <v>0.82833000000000001</v>
      </c>
      <c r="AA71" s="64">
        <v>0.82833000000000001</v>
      </c>
      <c r="AB71" s="64">
        <v>0.82833000000000001</v>
      </c>
      <c r="AC71" s="64">
        <v>0.82833000000000001</v>
      </c>
      <c r="AD71" s="64">
        <v>0.82833000000000001</v>
      </c>
      <c r="AE71" s="64">
        <v>0.82833000000000001</v>
      </c>
      <c r="AF71" s="64">
        <v>0.82833000000000001</v>
      </c>
      <c r="AG71" s="64">
        <v>0.82833000000000001</v>
      </c>
      <c r="AH71" s="64">
        <v>0.82833000000000001</v>
      </c>
      <c r="AI71" s="64">
        <v>0.82833000000000001</v>
      </c>
      <c r="AJ71" s="64">
        <v>0.82833000000000001</v>
      </c>
      <c r="AK71" s="64">
        <v>0.82833000000000001</v>
      </c>
      <c r="AL71" s="64">
        <v>0.82833000000000001</v>
      </c>
      <c r="AM71" s="64">
        <v>0.82833000000000001</v>
      </c>
      <c r="AN71" s="64">
        <v>0.82833000000000001</v>
      </c>
      <c r="AO71" s="64">
        <v>0.82833000000000001</v>
      </c>
      <c r="AP71" s="64">
        <v>0.82833000000000001</v>
      </c>
      <c r="AQ71" s="64">
        <v>0.82833000000000001</v>
      </c>
      <c r="AR71" s="64">
        <v>0.82833000000000001</v>
      </c>
      <c r="AS71" s="64">
        <v>0.82833000000000001</v>
      </c>
      <c r="AT71" s="64">
        <v>0.82833000000000001</v>
      </c>
      <c r="AU71" s="64">
        <v>0.82833000000000001</v>
      </c>
      <c r="AV71" s="64">
        <v>0.82833000000000001</v>
      </c>
      <c r="AW71" s="64">
        <v>0.82833000000000001</v>
      </c>
      <c r="AX71" s="64">
        <v>0.82833000000000001</v>
      </c>
      <c r="AY71" s="64">
        <v>0.82833000000000001</v>
      </c>
      <c r="AZ71" s="64">
        <v>0.82833000000000001</v>
      </c>
      <c r="BA71" s="64">
        <v>0.82833000000000001</v>
      </c>
      <c r="BB71" s="64">
        <v>0.82833000000000001</v>
      </c>
      <c r="BC71" s="64">
        <v>0.82833000000000001</v>
      </c>
      <c r="BD71" s="64">
        <v>0.82833000000000001</v>
      </c>
      <c r="BE71" s="64">
        <v>0.82833000000000001</v>
      </c>
      <c r="BF71" s="64">
        <v>0.82833000000000001</v>
      </c>
      <c r="BG71" s="64">
        <v>0.82833000000000001</v>
      </c>
      <c r="BH71" s="64">
        <v>0.82833000000000001</v>
      </c>
      <c r="BI71" s="64">
        <v>0.82833000000000001</v>
      </c>
      <c r="BJ71" t="e">
        <v>#N/A</v>
      </c>
    </row>
    <row r="72" spans="1:62" x14ac:dyDescent="0.3">
      <c r="A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</row>
    <row r="73" spans="1:62" x14ac:dyDescent="0.3">
      <c r="A73" s="47" t="s">
        <v>242</v>
      </c>
      <c r="B73" s="48" t="s">
        <v>429</v>
      </c>
      <c r="C73" s="47" t="s">
        <v>405</v>
      </c>
      <c r="D73" s="47" t="s">
        <v>217</v>
      </c>
      <c r="E73" s="47"/>
      <c r="F73" s="47" t="str">
        <f>"Conso pour " &amp; LOWER(D73)</f>
        <v>Conso pour industrie</v>
      </c>
      <c r="G73" s="47" t="s">
        <v>153</v>
      </c>
      <c r="H73" s="47" t="s">
        <v>254</v>
      </c>
      <c r="I73" s="49" t="s">
        <v>500</v>
      </c>
      <c r="J73" s="50">
        <v>0.19</v>
      </c>
      <c r="K73" s="50">
        <v>9.2999999999999999E-2</v>
      </c>
      <c r="L73" s="50">
        <v>9.8699999999999996E-2</v>
      </c>
      <c r="M73" s="50">
        <v>0.14460000000000001</v>
      </c>
      <c r="N73" s="50">
        <v>0.14219999999999999</v>
      </c>
      <c r="O73" s="50">
        <v>0.13739999999999999</v>
      </c>
      <c r="P73" s="50">
        <v>0.13930000000000001</v>
      </c>
      <c r="Q73" s="50">
        <v>0.16159999999999999</v>
      </c>
      <c r="R73" s="50">
        <v>0.1799</v>
      </c>
      <c r="S73" s="50">
        <v>0.1956</v>
      </c>
      <c r="T73" s="50">
        <v>0.21</v>
      </c>
      <c r="U73" s="50">
        <v>0.1893</v>
      </c>
      <c r="V73" s="50">
        <v>0.16200000000000001</v>
      </c>
      <c r="W73" s="50">
        <v>0.1802</v>
      </c>
      <c r="X73" s="50">
        <v>0.15310000000000001</v>
      </c>
      <c r="Y73" s="50">
        <v>0.17100000000000001</v>
      </c>
      <c r="Z73" s="50">
        <v>0.64570000000000005</v>
      </c>
      <c r="AA73" s="50">
        <v>0.57430000000000003</v>
      </c>
      <c r="AB73" s="50">
        <v>0.55679999999999996</v>
      </c>
      <c r="AC73" s="50">
        <v>0.55900000000000005</v>
      </c>
      <c r="AD73" s="50">
        <v>0.55389999999999995</v>
      </c>
      <c r="AE73" s="50">
        <v>3.0024000000000002</v>
      </c>
      <c r="AF73" s="50">
        <v>3.0352000000000001</v>
      </c>
      <c r="AG73" s="50">
        <v>3.0261</v>
      </c>
      <c r="AH73" s="50">
        <v>3.0908000000000002</v>
      </c>
      <c r="AI73" s="50">
        <v>3.0756999999999999</v>
      </c>
      <c r="AJ73" s="50">
        <v>3.1124999999999998</v>
      </c>
      <c r="AK73" s="50">
        <v>3.1198000000000001</v>
      </c>
      <c r="AL73" s="50">
        <v>3.1434000000000002</v>
      </c>
      <c r="AM73" s="50">
        <v>3.161</v>
      </c>
      <c r="AN73" s="50">
        <v>3.1573000000000002</v>
      </c>
      <c r="AO73" s="50">
        <v>3.1684999999999999</v>
      </c>
      <c r="AP73" s="50">
        <v>3.1469999999999998</v>
      </c>
      <c r="AQ73" s="50">
        <v>3.1293000000000002</v>
      </c>
      <c r="AR73" s="50">
        <v>3.0607000000000002</v>
      </c>
      <c r="AS73" s="50">
        <v>3.0596999999999999</v>
      </c>
      <c r="AT73" s="50">
        <v>3.0644</v>
      </c>
      <c r="AU73" s="50">
        <v>3.032</v>
      </c>
      <c r="AV73" s="50">
        <v>3.0242</v>
      </c>
      <c r="AW73" s="50">
        <v>3.0466000000000002</v>
      </c>
      <c r="AX73" s="50">
        <v>3.0510999999999999</v>
      </c>
      <c r="AY73" s="50">
        <v>3.0392999999999999</v>
      </c>
      <c r="AZ73" s="50">
        <v>3.0941000000000001</v>
      </c>
      <c r="BA73" s="50">
        <v>3.0661999999999998</v>
      </c>
      <c r="BB73" s="50">
        <v>3.0802999999999998</v>
      </c>
      <c r="BC73" s="50">
        <v>3.0070000000000001</v>
      </c>
      <c r="BD73" s="50">
        <v>3.0384000000000002</v>
      </c>
      <c r="BE73" s="50">
        <v>3.0015999999999998</v>
      </c>
      <c r="BF73" s="50">
        <v>3.0026999999999999</v>
      </c>
      <c r="BG73" s="50">
        <v>2.9645000000000001</v>
      </c>
      <c r="BH73" s="50">
        <v>2.9946000000000002</v>
      </c>
      <c r="BI73" s="50">
        <v>2.9594999999999998</v>
      </c>
      <c r="BJ73" t="e">
        <v>#N/A</v>
      </c>
    </row>
    <row r="74" spans="1:62" x14ac:dyDescent="0.3">
      <c r="A74" s="47" t="s">
        <v>242</v>
      </c>
      <c r="B74" s="48" t="s">
        <v>429</v>
      </c>
      <c r="C74" s="47" t="s">
        <v>406</v>
      </c>
      <c r="D74" s="47" t="s">
        <v>253</v>
      </c>
      <c r="E74" s="47"/>
      <c r="F74" s="47" t="str">
        <f t="shared" ref="F74:F79" si="10">"Conso pour " &amp; LOWER(D74)</f>
        <v>Conso pour mobilité</v>
      </c>
      <c r="G74" s="47" t="s">
        <v>153</v>
      </c>
      <c r="H74" s="47" t="s">
        <v>252</v>
      </c>
      <c r="I74" s="49" t="s">
        <v>500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  <c r="Q74" s="50">
        <v>1.06E-2</v>
      </c>
      <c r="R74" s="50">
        <v>1.09E-2</v>
      </c>
      <c r="S74" s="50">
        <v>1.0999999999999999E-2</v>
      </c>
      <c r="T74" s="50">
        <v>1.11E-2</v>
      </c>
      <c r="U74" s="50">
        <v>2.2499999999999999E-2</v>
      </c>
      <c r="V74" s="50">
        <v>6.5799999999999997E-2</v>
      </c>
      <c r="W74" s="50">
        <v>0.11020000000000001</v>
      </c>
      <c r="X74" s="50">
        <v>0.16139999999999999</v>
      </c>
      <c r="Y74" s="50">
        <v>0.21820000000000001</v>
      </c>
      <c r="Z74" s="50">
        <v>0.28120000000000001</v>
      </c>
      <c r="AA74" s="50">
        <v>0.3508</v>
      </c>
      <c r="AB74" s="50">
        <v>0.42730000000000001</v>
      </c>
      <c r="AC74" s="50">
        <v>0.51060000000000005</v>
      </c>
      <c r="AD74" s="50">
        <v>0.60009999999999997</v>
      </c>
      <c r="AE74" s="50">
        <v>0.69520000000000004</v>
      </c>
      <c r="AF74" s="50">
        <v>0.72599999999999998</v>
      </c>
      <c r="AG74" s="50">
        <v>0.755</v>
      </c>
      <c r="AH74" s="50">
        <v>0.78159999999999996</v>
      </c>
      <c r="AI74" s="50">
        <v>0.80569999999999997</v>
      </c>
      <c r="AJ74" s="50">
        <v>0.82720000000000005</v>
      </c>
      <c r="AK74" s="50">
        <v>0.84619999999999995</v>
      </c>
      <c r="AL74" s="50">
        <v>0.86280000000000001</v>
      </c>
      <c r="AM74" s="50">
        <v>0.87729999999999997</v>
      </c>
      <c r="AN74" s="50">
        <v>0.8901</v>
      </c>
      <c r="AO74" s="50">
        <v>0.90980000000000005</v>
      </c>
      <c r="AP74" s="50">
        <v>0.90920000000000001</v>
      </c>
      <c r="AQ74" s="50">
        <v>0.90849999999999997</v>
      </c>
      <c r="AR74" s="50">
        <v>0.90780000000000005</v>
      </c>
      <c r="AS74" s="50">
        <v>0.90690000000000004</v>
      </c>
      <c r="AT74" s="50">
        <v>0.90600000000000003</v>
      </c>
      <c r="AU74" s="50">
        <v>0.90500000000000003</v>
      </c>
      <c r="AV74" s="50">
        <v>0.90400000000000003</v>
      </c>
      <c r="AW74" s="50">
        <v>0.90290000000000004</v>
      </c>
      <c r="AX74" s="50">
        <v>0.90169999999999995</v>
      </c>
      <c r="AY74" s="50">
        <v>0.90059999999999996</v>
      </c>
      <c r="AZ74" s="50">
        <v>0.89949999999999997</v>
      </c>
      <c r="BA74" s="50">
        <v>0.89829999999999999</v>
      </c>
      <c r="BB74" s="50">
        <v>0.8972</v>
      </c>
      <c r="BC74" s="50">
        <v>0.89610000000000001</v>
      </c>
      <c r="BD74" s="50">
        <v>0.89510000000000001</v>
      </c>
      <c r="BE74" s="50">
        <v>0.89410000000000001</v>
      </c>
      <c r="BF74" s="50">
        <v>0.8931</v>
      </c>
      <c r="BG74" s="50">
        <v>0.89219999999999999</v>
      </c>
      <c r="BH74" s="50">
        <v>0.89129999999999998</v>
      </c>
      <c r="BI74" s="50">
        <v>0.89039999999999997</v>
      </c>
      <c r="BJ74" t="e">
        <v>#N/A</v>
      </c>
    </row>
    <row r="75" spans="1:62" x14ac:dyDescent="0.3">
      <c r="A75" s="47" t="s">
        <v>242</v>
      </c>
      <c r="B75" s="48" t="s">
        <v>429</v>
      </c>
      <c r="C75" s="47" t="s">
        <v>407</v>
      </c>
      <c r="D75" s="47" t="s">
        <v>251</v>
      </c>
      <c r="E75" s="47"/>
      <c r="F75" s="47" t="str">
        <f t="shared" si="10"/>
        <v>Conso pour fret</v>
      </c>
      <c r="G75" s="47" t="s">
        <v>153</v>
      </c>
      <c r="H75" s="47" t="s">
        <v>250</v>
      </c>
      <c r="I75" s="49" t="s">
        <v>500</v>
      </c>
      <c r="J75" s="50">
        <v>0</v>
      </c>
      <c r="K75" s="50">
        <v>0</v>
      </c>
      <c r="L75" s="50">
        <v>0.2301</v>
      </c>
      <c r="M75" s="50">
        <v>0</v>
      </c>
      <c r="N75" s="50">
        <v>0</v>
      </c>
      <c r="O75" s="50">
        <v>0</v>
      </c>
      <c r="P75" s="50">
        <v>0</v>
      </c>
      <c r="Q75" s="50">
        <v>0</v>
      </c>
      <c r="R75" s="50">
        <v>0</v>
      </c>
      <c r="S75" s="50">
        <v>0</v>
      </c>
      <c r="T75" s="50">
        <v>0</v>
      </c>
      <c r="U75" s="50">
        <v>0</v>
      </c>
      <c r="V75" s="50">
        <v>0</v>
      </c>
      <c r="W75" s="50">
        <v>0</v>
      </c>
      <c r="X75" s="50">
        <v>0</v>
      </c>
      <c r="Y75" s="50">
        <v>0</v>
      </c>
      <c r="Z75" s="50">
        <v>0</v>
      </c>
      <c r="AA75" s="50">
        <v>0</v>
      </c>
      <c r="AB75" s="50">
        <v>0</v>
      </c>
      <c r="AC75" s="50">
        <v>0</v>
      </c>
      <c r="AD75" s="50">
        <v>0</v>
      </c>
      <c r="AE75" s="50">
        <v>0</v>
      </c>
      <c r="AF75" s="50">
        <v>0</v>
      </c>
      <c r="AG75" s="50">
        <v>0</v>
      </c>
      <c r="AH75" s="50">
        <v>0</v>
      </c>
      <c r="AI75" s="50">
        <v>0</v>
      </c>
      <c r="AJ75" s="50">
        <v>0</v>
      </c>
      <c r="AK75" s="50">
        <v>0</v>
      </c>
      <c r="AL75" s="50">
        <v>0</v>
      </c>
      <c r="AM75" s="50">
        <v>0</v>
      </c>
      <c r="AN75" s="50">
        <v>0</v>
      </c>
      <c r="AO75" s="50">
        <v>0</v>
      </c>
      <c r="AP75" s="50">
        <v>0</v>
      </c>
      <c r="AQ75" s="50">
        <v>0</v>
      </c>
      <c r="AR75" s="50">
        <v>0</v>
      </c>
      <c r="AS75" s="50">
        <v>0</v>
      </c>
      <c r="AT75" s="50">
        <v>0</v>
      </c>
      <c r="AU75" s="50">
        <v>0</v>
      </c>
      <c r="AV75" s="50">
        <v>0</v>
      </c>
      <c r="AW75" s="50">
        <v>0</v>
      </c>
      <c r="AX75" s="50">
        <v>0</v>
      </c>
      <c r="AY75" s="50">
        <v>0</v>
      </c>
      <c r="AZ75" s="50">
        <v>0</v>
      </c>
      <c r="BA75" s="50">
        <v>0</v>
      </c>
      <c r="BB75" s="50">
        <v>0</v>
      </c>
      <c r="BC75" s="50">
        <v>0</v>
      </c>
      <c r="BD75" s="50">
        <v>0</v>
      </c>
      <c r="BE75" s="50">
        <v>0</v>
      </c>
      <c r="BF75" s="50">
        <v>0</v>
      </c>
      <c r="BG75" s="50">
        <v>0</v>
      </c>
      <c r="BH75" s="50">
        <v>0</v>
      </c>
      <c r="BI75" s="50">
        <v>0</v>
      </c>
      <c r="BJ75" t="e">
        <v>#N/A</v>
      </c>
    </row>
    <row r="76" spans="1:62" x14ac:dyDescent="0.3">
      <c r="A76" s="47" t="s">
        <v>242</v>
      </c>
      <c r="B76" s="48" t="s">
        <v>429</v>
      </c>
      <c r="C76" s="47" t="s">
        <v>408</v>
      </c>
      <c r="D76" s="47" t="s">
        <v>213</v>
      </c>
      <c r="E76" s="47"/>
      <c r="F76" s="47" t="str">
        <f t="shared" si="10"/>
        <v>Conso pour non-énergétique</v>
      </c>
      <c r="G76" s="47" t="s">
        <v>153</v>
      </c>
      <c r="H76" s="47" t="s">
        <v>249</v>
      </c>
      <c r="I76" s="49" t="s">
        <v>500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  <c r="Q76" s="50">
        <v>0</v>
      </c>
      <c r="R76" s="50">
        <v>0</v>
      </c>
      <c r="S76" s="50">
        <v>0</v>
      </c>
      <c r="T76" s="50">
        <v>0</v>
      </c>
      <c r="U76" s="50">
        <v>3.1800000000000002E-2</v>
      </c>
      <c r="V76" s="50">
        <v>5.9900000000000002E-2</v>
      </c>
      <c r="W76" s="50">
        <v>8.5500000000000007E-2</v>
      </c>
      <c r="X76" s="50">
        <v>0.1094</v>
      </c>
      <c r="Y76" s="50">
        <v>0.13220000000000001</v>
      </c>
      <c r="Z76" s="50">
        <v>1.2911999999999999</v>
      </c>
      <c r="AA76" s="50">
        <v>4.0387000000000004</v>
      </c>
      <c r="AB76" s="50">
        <v>5.7984</v>
      </c>
      <c r="AC76" s="50">
        <v>7.1497999999999999</v>
      </c>
      <c r="AD76" s="50">
        <v>8.9596999999999998</v>
      </c>
      <c r="AE76" s="50">
        <v>10.8735</v>
      </c>
      <c r="AF76" s="50">
        <v>12.295500000000001</v>
      </c>
      <c r="AG76" s="50">
        <v>13.709300000000001</v>
      </c>
      <c r="AH76" s="50">
        <v>15.1013</v>
      </c>
      <c r="AI76" s="50">
        <v>16.4376</v>
      </c>
      <c r="AJ76" s="50">
        <v>17.717600000000001</v>
      </c>
      <c r="AK76" s="50">
        <v>18.902799999999999</v>
      </c>
      <c r="AL76" s="50">
        <v>19.9178</v>
      </c>
      <c r="AM76" s="50">
        <v>20.7516</v>
      </c>
      <c r="AN76" s="50">
        <v>21.3672</v>
      </c>
      <c r="AO76" s="50">
        <v>21.749199999999998</v>
      </c>
      <c r="AP76" s="50">
        <v>22.1418</v>
      </c>
      <c r="AQ76" s="50">
        <v>22.530200000000001</v>
      </c>
      <c r="AR76" s="50">
        <v>22.898299999999999</v>
      </c>
      <c r="AS76" s="50">
        <v>23.267199999999999</v>
      </c>
      <c r="AT76" s="50">
        <v>23.616399999999999</v>
      </c>
      <c r="AU76" s="50">
        <v>23.927600000000002</v>
      </c>
      <c r="AV76" s="50">
        <v>24.210100000000001</v>
      </c>
      <c r="AW76" s="50">
        <v>24.470800000000001</v>
      </c>
      <c r="AX76" s="50">
        <v>24.713100000000001</v>
      </c>
      <c r="AY76" s="50">
        <v>24.940899999999999</v>
      </c>
      <c r="AZ76" s="50">
        <v>25.157699999999998</v>
      </c>
      <c r="BA76" s="50">
        <v>25.3293</v>
      </c>
      <c r="BB76" s="50">
        <v>25.494900000000001</v>
      </c>
      <c r="BC76" s="50">
        <v>25.6114</v>
      </c>
      <c r="BD76" s="50">
        <v>25.771699999999999</v>
      </c>
      <c r="BE76" s="50">
        <v>25.895600000000002</v>
      </c>
      <c r="BF76" s="50">
        <v>26.005199999999999</v>
      </c>
      <c r="BG76" s="50">
        <v>26.0639</v>
      </c>
      <c r="BH76" s="50">
        <v>26.141999999999999</v>
      </c>
      <c r="BI76" s="50">
        <v>26.1675</v>
      </c>
      <c r="BJ76" t="e">
        <v>#N/A</v>
      </c>
    </row>
    <row r="77" spans="1:62" x14ac:dyDescent="0.3">
      <c r="A77" s="47" t="s">
        <v>242</v>
      </c>
      <c r="B77" s="48" t="s">
        <v>429</v>
      </c>
      <c r="C77" s="47" t="s">
        <v>444</v>
      </c>
      <c r="D77" s="47" t="s">
        <v>434</v>
      </c>
      <c r="E77" s="47"/>
      <c r="F77" s="47" t="str">
        <f t="shared" si="10"/>
        <v>Conso pour branche énergie</v>
      </c>
      <c r="G77" s="47" t="s">
        <v>153</v>
      </c>
      <c r="H77" s="47" t="s">
        <v>435</v>
      </c>
      <c r="I77" s="49" t="s">
        <v>500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  <c r="Q77" s="50">
        <v>0</v>
      </c>
      <c r="R77" s="50">
        <v>0</v>
      </c>
      <c r="S77" s="50">
        <v>0</v>
      </c>
      <c r="T77" s="50">
        <v>0</v>
      </c>
      <c r="U77" s="50">
        <v>0</v>
      </c>
      <c r="V77" s="50">
        <v>0.1205</v>
      </c>
      <c r="W77" s="50">
        <v>0.24179999999999999</v>
      </c>
      <c r="X77" s="50">
        <v>0.36359999999999998</v>
      </c>
      <c r="Y77" s="50">
        <v>0.48530000000000001</v>
      </c>
      <c r="Z77" s="50">
        <v>0.60580000000000001</v>
      </c>
      <c r="AA77" s="50">
        <v>0.72419999999999995</v>
      </c>
      <c r="AB77" s="50">
        <v>0.83909999999999996</v>
      </c>
      <c r="AC77" s="50">
        <v>0.94950000000000001</v>
      </c>
      <c r="AD77" s="50">
        <v>1.0544</v>
      </c>
      <c r="AE77" s="50">
        <v>1.1531</v>
      </c>
      <c r="AF77" s="50">
        <v>1.2473000000000001</v>
      </c>
      <c r="AG77" s="50">
        <v>1.3394999999999999</v>
      </c>
      <c r="AH77" s="50">
        <v>1.4303999999999999</v>
      </c>
      <c r="AI77" s="50">
        <v>1.5208999999999999</v>
      </c>
      <c r="AJ77" s="50">
        <v>1.6116999999999999</v>
      </c>
      <c r="AK77" s="50">
        <v>1.7039</v>
      </c>
      <c r="AL77" s="50">
        <v>1.7982</v>
      </c>
      <c r="AM77" s="50">
        <v>1.8955</v>
      </c>
      <c r="AN77" s="50">
        <v>1.9967999999999999</v>
      </c>
      <c r="AO77" s="50">
        <v>2.1027999999999998</v>
      </c>
      <c r="AP77" s="50">
        <v>2.0994999999999999</v>
      </c>
      <c r="AQ77" s="50">
        <v>2.0952000000000002</v>
      </c>
      <c r="AR77" s="50">
        <v>2.09</v>
      </c>
      <c r="AS77" s="50">
        <v>2.0840999999999998</v>
      </c>
      <c r="AT77" s="50">
        <v>2.0773000000000001</v>
      </c>
      <c r="AU77" s="50">
        <v>2.0699999999999998</v>
      </c>
      <c r="AV77" s="50">
        <v>2.0621999999999998</v>
      </c>
      <c r="AW77" s="50">
        <v>2.0539999999999998</v>
      </c>
      <c r="AX77" s="50">
        <v>2.0457000000000001</v>
      </c>
      <c r="AY77" s="50">
        <v>2.0373000000000001</v>
      </c>
      <c r="AZ77" s="50">
        <v>2.0373000000000001</v>
      </c>
      <c r="BA77" s="50">
        <v>2.0373000000000001</v>
      </c>
      <c r="BB77" s="50">
        <v>2.0373000000000001</v>
      </c>
      <c r="BC77" s="50">
        <v>2.0373000000000001</v>
      </c>
      <c r="BD77" s="50">
        <v>2.0373000000000001</v>
      </c>
      <c r="BE77" s="50">
        <v>2.0373000000000001</v>
      </c>
      <c r="BF77" s="50">
        <v>2.0373000000000001</v>
      </c>
      <c r="BG77" s="50">
        <v>2.0373000000000001</v>
      </c>
      <c r="BH77" s="50">
        <v>2.0373000000000001</v>
      </c>
      <c r="BI77" s="50">
        <v>2.0373000000000001</v>
      </c>
      <c r="BJ77" t="e">
        <v>#N/A</v>
      </c>
    </row>
    <row r="78" spans="1:62" x14ac:dyDescent="0.3">
      <c r="A78" s="47" t="s">
        <v>242</v>
      </c>
      <c r="B78" s="59" t="s">
        <v>484</v>
      </c>
      <c r="C78" s="47" t="s">
        <v>241</v>
      </c>
      <c r="D78" s="47" t="s">
        <v>248</v>
      </c>
      <c r="E78" s="47"/>
      <c r="F78" s="47" t="str">
        <f t="shared" si="10"/>
        <v>Conso pour méthanation (p2g)</v>
      </c>
      <c r="G78" s="47" t="s">
        <v>153</v>
      </c>
      <c r="H78" s="47" t="s">
        <v>247</v>
      </c>
      <c r="I78" s="49" t="s">
        <v>500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50">
        <v>0</v>
      </c>
      <c r="P78" s="50">
        <v>0</v>
      </c>
      <c r="Q78" s="50">
        <v>0</v>
      </c>
      <c r="R78" s="50">
        <v>0</v>
      </c>
      <c r="S78" s="50">
        <v>0</v>
      </c>
      <c r="T78" s="50">
        <v>0</v>
      </c>
      <c r="U78" s="50">
        <v>0</v>
      </c>
      <c r="V78" s="50">
        <v>0.24859999999999999</v>
      </c>
      <c r="W78" s="50">
        <v>0.5827</v>
      </c>
      <c r="X78" s="50">
        <v>1.0063</v>
      </c>
      <c r="Y78" s="50">
        <v>1.5258</v>
      </c>
      <c r="Z78" s="50">
        <v>2.1347</v>
      </c>
      <c r="AA78" s="50">
        <v>2.8338000000000001</v>
      </c>
      <c r="AB78" s="50">
        <v>3.6172</v>
      </c>
      <c r="AC78" s="50">
        <v>4.4789000000000003</v>
      </c>
      <c r="AD78" s="50">
        <v>5.4104000000000001</v>
      </c>
      <c r="AE78" s="50">
        <v>6.4017999999999997</v>
      </c>
      <c r="AF78" s="50">
        <v>7.4509999999999996</v>
      </c>
      <c r="AG78" s="50">
        <v>8.5545000000000009</v>
      </c>
      <c r="AH78" s="50">
        <v>9.7043999999999997</v>
      </c>
      <c r="AI78" s="50">
        <v>10.949199999999999</v>
      </c>
      <c r="AJ78" s="50">
        <v>12.176600000000001</v>
      </c>
      <c r="AK78" s="50">
        <v>13.477</v>
      </c>
      <c r="AL78" s="50">
        <v>14.9884</v>
      </c>
      <c r="AM78" s="50">
        <v>16.578900000000001</v>
      </c>
      <c r="AN78" s="50">
        <v>18.201499999999999</v>
      </c>
      <c r="AO78" s="50">
        <v>19.8672</v>
      </c>
      <c r="AP78" s="50">
        <v>19.908899999999999</v>
      </c>
      <c r="AQ78" s="50">
        <v>19.946300000000001</v>
      </c>
      <c r="AR78" s="50">
        <v>19.98</v>
      </c>
      <c r="AS78" s="50">
        <v>20.127700000000001</v>
      </c>
      <c r="AT78" s="50">
        <v>20.151</v>
      </c>
      <c r="AU78" s="50">
        <v>20.152999999999999</v>
      </c>
      <c r="AV78" s="50">
        <v>20.164999999999999</v>
      </c>
      <c r="AW78" s="50">
        <v>20.170999999999999</v>
      </c>
      <c r="AX78" s="50">
        <v>20.101800000000001</v>
      </c>
      <c r="AY78" s="50">
        <v>20.130600000000001</v>
      </c>
      <c r="AZ78" s="50">
        <v>20.155799999999999</v>
      </c>
      <c r="BA78" s="50">
        <v>20.1615</v>
      </c>
      <c r="BB78" s="50">
        <v>20.166599999999999</v>
      </c>
      <c r="BC78" s="50">
        <v>20.290099999999999</v>
      </c>
      <c r="BD78" s="50">
        <v>20.2926</v>
      </c>
      <c r="BE78" s="50">
        <v>20.293299999999999</v>
      </c>
      <c r="BF78" s="50">
        <v>20.292300000000001</v>
      </c>
      <c r="BG78" s="50">
        <v>20.290099999999999</v>
      </c>
      <c r="BH78" s="50">
        <v>20.2165</v>
      </c>
      <c r="BI78" s="50">
        <v>20.2104</v>
      </c>
    </row>
    <row r="79" spans="1:62" x14ac:dyDescent="0.3">
      <c r="A79" s="47" t="s">
        <v>242</v>
      </c>
      <c r="B79" s="48" t="s">
        <v>429</v>
      </c>
      <c r="C79" s="47" t="s">
        <v>409</v>
      </c>
      <c r="D79" s="47" t="s">
        <v>246</v>
      </c>
      <c r="E79" s="47"/>
      <c r="F79" s="47" t="str">
        <f t="shared" si="10"/>
        <v>Conso pour e-fuel</v>
      </c>
      <c r="G79" s="47" t="s">
        <v>153</v>
      </c>
      <c r="H79" s="47" t="s">
        <v>245</v>
      </c>
      <c r="I79" s="49" t="s">
        <v>500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50">
        <v>0</v>
      </c>
      <c r="P79" s="50">
        <v>0</v>
      </c>
      <c r="Q79" s="50">
        <v>0</v>
      </c>
      <c r="R79" s="50">
        <v>0</v>
      </c>
      <c r="S79" s="50">
        <v>0</v>
      </c>
      <c r="T79" s="50">
        <v>0</v>
      </c>
      <c r="U79" s="50">
        <v>0</v>
      </c>
      <c r="V79" s="50">
        <v>4.65E-2</v>
      </c>
      <c r="W79" s="50">
        <v>0.17630000000000001</v>
      </c>
      <c r="X79" s="50">
        <v>0.38900000000000001</v>
      </c>
      <c r="Y79" s="50">
        <v>0.71130000000000004</v>
      </c>
      <c r="Z79" s="50">
        <v>1.1034999999999999</v>
      </c>
      <c r="AA79" s="50">
        <v>1.5854999999999999</v>
      </c>
      <c r="AB79" s="50">
        <v>2.1480999999999999</v>
      </c>
      <c r="AC79" s="50">
        <v>2.7944</v>
      </c>
      <c r="AD79" s="50">
        <v>3.5230999999999999</v>
      </c>
      <c r="AE79" s="50">
        <v>4.3333000000000004</v>
      </c>
      <c r="AF79" s="50">
        <v>5.2342000000000004</v>
      </c>
      <c r="AG79" s="50">
        <v>6.2176999999999998</v>
      </c>
      <c r="AH79" s="50">
        <v>7.2854999999999999</v>
      </c>
      <c r="AI79" s="50">
        <v>8.7794000000000008</v>
      </c>
      <c r="AJ79" s="50">
        <v>10.081099999999999</v>
      </c>
      <c r="AK79" s="50">
        <v>11.4964</v>
      </c>
      <c r="AL79" s="50">
        <v>13.0219</v>
      </c>
      <c r="AM79" s="50">
        <v>14.7782</v>
      </c>
      <c r="AN79" s="50">
        <v>16.523099999999999</v>
      </c>
      <c r="AO79" s="50">
        <v>18.366299999999999</v>
      </c>
      <c r="AP79" s="50">
        <v>18.406199999999998</v>
      </c>
      <c r="AQ79" s="50">
        <v>18.441500000000001</v>
      </c>
      <c r="AR79" s="50">
        <v>18.475200000000001</v>
      </c>
      <c r="AS79" s="50">
        <v>19.213999999999999</v>
      </c>
      <c r="AT79" s="50">
        <v>19.231200000000001</v>
      </c>
      <c r="AU79" s="50">
        <v>19.143599999999999</v>
      </c>
      <c r="AV79" s="50">
        <v>19.139099999999999</v>
      </c>
      <c r="AW79" s="50">
        <v>19.122699999999998</v>
      </c>
      <c r="AX79" s="50">
        <v>18.679300000000001</v>
      </c>
      <c r="AY79" s="50">
        <v>18.846399999999999</v>
      </c>
      <c r="AZ79" s="50">
        <v>19.0031</v>
      </c>
      <c r="BA79" s="50">
        <v>19.043099999999999</v>
      </c>
      <c r="BB79" s="50">
        <v>19.0794</v>
      </c>
      <c r="BC79" s="50">
        <v>19.824100000000001</v>
      </c>
      <c r="BD79" s="50">
        <v>19.844100000000001</v>
      </c>
      <c r="BE79" s="50">
        <v>19.8522</v>
      </c>
      <c r="BF79" s="50">
        <v>19.8506</v>
      </c>
      <c r="BG79" s="50">
        <v>19.840199999999999</v>
      </c>
      <c r="BH79" s="50">
        <v>19.402100000000001</v>
      </c>
      <c r="BI79" s="50">
        <v>19.367799999999999</v>
      </c>
    </row>
    <row r="80" spans="1:62" x14ac:dyDescent="0.3">
      <c r="A80" s="47" t="s">
        <v>242</v>
      </c>
      <c r="B80" s="59" t="s">
        <v>484</v>
      </c>
      <c r="C80" s="47" t="s">
        <v>241</v>
      </c>
      <c r="D80" s="47" t="s">
        <v>205</v>
      </c>
      <c r="E80" s="47"/>
      <c r="F80" s="47" t="str">
        <f>D80</f>
        <v>Excédent</v>
      </c>
      <c r="G80" s="47" t="s">
        <v>153</v>
      </c>
      <c r="H80" s="47" t="s">
        <v>244</v>
      </c>
      <c r="I80" s="49" t="s">
        <v>500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50">
        <v>0</v>
      </c>
      <c r="P80" s="50">
        <v>0</v>
      </c>
      <c r="Q80" s="50">
        <v>0.75490000000000002</v>
      </c>
      <c r="R80" s="50">
        <v>1.7156</v>
      </c>
      <c r="S80" s="50">
        <v>2.6682999999999999</v>
      </c>
      <c r="T80" s="50">
        <v>3.6377999999999999</v>
      </c>
      <c r="U80" s="50">
        <v>4.6167999999999996</v>
      </c>
      <c r="V80" s="50">
        <v>5.7207999999999997</v>
      </c>
      <c r="W80" s="50">
        <v>6.5819999999999999</v>
      </c>
      <c r="X80" s="50">
        <v>7.2785000000000002</v>
      </c>
      <c r="Y80" s="50">
        <v>7.6837999999999997</v>
      </c>
      <c r="Z80" s="50">
        <v>6.2906000000000004</v>
      </c>
      <c r="AA80" s="50">
        <v>5.7607999999999997</v>
      </c>
      <c r="AB80" s="50">
        <v>5.891</v>
      </c>
      <c r="AC80" s="50">
        <v>6.1306000000000003</v>
      </c>
      <c r="AD80" s="50">
        <v>5.6418999999999997</v>
      </c>
      <c r="AE80" s="50">
        <v>2.3239999999999998</v>
      </c>
      <c r="AF80" s="50">
        <v>2.8744999999999998</v>
      </c>
      <c r="AG80" s="50">
        <v>3.1362000000000001</v>
      </c>
      <c r="AH80" s="50">
        <v>3.0394999999999999</v>
      </c>
      <c r="AI80" s="50">
        <v>2.3786999999999998</v>
      </c>
      <c r="AJ80" s="50">
        <v>1.7518</v>
      </c>
      <c r="AK80" s="50">
        <v>2.4251999999999998</v>
      </c>
      <c r="AL80" s="50">
        <v>2.6835</v>
      </c>
      <c r="AM80" s="50">
        <v>2.5695000000000001</v>
      </c>
      <c r="AN80" s="50">
        <v>2.4218000000000002</v>
      </c>
      <c r="AO80" s="50">
        <v>2.1126999999999998</v>
      </c>
      <c r="AP80" s="50">
        <v>2.4531000000000001</v>
      </c>
      <c r="AQ80" s="50">
        <v>2.8033999999999999</v>
      </c>
      <c r="AR80" s="50">
        <v>3.2286999999999999</v>
      </c>
      <c r="AS80" s="50">
        <v>2.7625999999999999</v>
      </c>
      <c r="AT80" s="50">
        <v>3.1509999999999998</v>
      </c>
      <c r="AU80" s="50">
        <v>3.7616999999999998</v>
      </c>
      <c r="AV80" s="50">
        <v>4.2594000000000003</v>
      </c>
      <c r="AW80" s="50">
        <v>4.7624000000000004</v>
      </c>
      <c r="AX80" s="50">
        <v>5.8003</v>
      </c>
      <c r="AY80" s="50">
        <v>6.1576000000000004</v>
      </c>
      <c r="AZ80" s="50">
        <v>6.2251000000000003</v>
      </c>
      <c r="BA80" s="50">
        <v>6.5552000000000001</v>
      </c>
      <c r="BB80" s="50">
        <v>6.8525</v>
      </c>
      <c r="BC80" s="50">
        <v>6.4584999999999999</v>
      </c>
      <c r="BD80" s="50">
        <v>6.7713999999999999</v>
      </c>
      <c r="BE80" s="50">
        <v>7.1864999999999997</v>
      </c>
      <c r="BF80" s="50">
        <v>7.5888999999999998</v>
      </c>
      <c r="BG80" s="50">
        <v>8.0901999999999994</v>
      </c>
      <c r="BH80" s="50">
        <v>9.0008999999999997</v>
      </c>
      <c r="BI80" s="50">
        <v>9.5550999999999995</v>
      </c>
    </row>
    <row r="81" spans="1:63" ht="15" thickBot="1" x14ac:dyDescent="0.35">
      <c r="A81" s="47" t="s">
        <v>242</v>
      </c>
      <c r="B81" s="59" t="s">
        <v>484</v>
      </c>
      <c r="C81" s="47" t="s">
        <v>241</v>
      </c>
      <c r="D81" s="47"/>
      <c r="E81" s="47"/>
      <c r="F81" s="52" t="s">
        <v>201</v>
      </c>
      <c r="G81" s="47" t="s">
        <v>153</v>
      </c>
      <c r="H81" s="47" t="s">
        <v>243</v>
      </c>
      <c r="I81" s="49" t="s">
        <v>500</v>
      </c>
      <c r="J81" s="50">
        <v>0.19</v>
      </c>
      <c r="K81" s="50">
        <v>9.2999999999999999E-2</v>
      </c>
      <c r="L81" s="50">
        <v>0.32879999999999998</v>
      </c>
      <c r="M81" s="50">
        <v>0.14460000000000001</v>
      </c>
      <c r="N81" s="50">
        <v>0.14219999999999999</v>
      </c>
      <c r="O81" s="50">
        <v>0.13739999999999999</v>
      </c>
      <c r="P81" s="50">
        <v>0.13930000000000001</v>
      </c>
      <c r="Q81" s="50">
        <v>0.92710000000000004</v>
      </c>
      <c r="R81" s="50">
        <v>1.9065000000000001</v>
      </c>
      <c r="S81" s="50">
        <v>2.8748999999999998</v>
      </c>
      <c r="T81" s="50">
        <v>3.859</v>
      </c>
      <c r="U81" s="50">
        <v>4.8605</v>
      </c>
      <c r="V81" s="50">
        <v>6.4241000000000001</v>
      </c>
      <c r="W81" s="50">
        <v>7.9587000000000003</v>
      </c>
      <c r="X81" s="50">
        <v>9.4612999999999996</v>
      </c>
      <c r="Y81" s="50">
        <v>10.9275</v>
      </c>
      <c r="Z81" s="50">
        <v>12.3527</v>
      </c>
      <c r="AA81" s="50">
        <v>15.8681</v>
      </c>
      <c r="AB81" s="50">
        <v>19.277999999999999</v>
      </c>
      <c r="AC81" s="50">
        <v>22.572700000000001</v>
      </c>
      <c r="AD81" s="50">
        <v>25.743500000000001</v>
      </c>
      <c r="AE81" s="50">
        <v>28.783300000000001</v>
      </c>
      <c r="AF81" s="50">
        <v>32.863700000000001</v>
      </c>
      <c r="AG81" s="50">
        <v>36.738300000000002</v>
      </c>
      <c r="AH81" s="50">
        <v>40.433500000000002</v>
      </c>
      <c r="AI81" s="50">
        <v>43.947200000000002</v>
      </c>
      <c r="AJ81" s="50">
        <v>47.278599999999997</v>
      </c>
      <c r="AK81" s="50">
        <v>51.9711</v>
      </c>
      <c r="AL81" s="50">
        <v>56.415900000000001</v>
      </c>
      <c r="AM81" s="50">
        <v>60.611899999999999</v>
      </c>
      <c r="AN81" s="50">
        <v>64.5578</v>
      </c>
      <c r="AO81" s="50">
        <v>68.276600000000002</v>
      </c>
      <c r="AP81" s="50">
        <v>69.065600000000003</v>
      </c>
      <c r="AQ81" s="50">
        <v>69.854399999999998</v>
      </c>
      <c r="AR81" s="50">
        <v>70.640600000000006</v>
      </c>
      <c r="AS81" s="50">
        <v>71.4221</v>
      </c>
      <c r="AT81" s="50">
        <v>72.197400000000002</v>
      </c>
      <c r="AU81" s="50">
        <v>72.992999999999995</v>
      </c>
      <c r="AV81" s="50">
        <v>73.763999999999996</v>
      </c>
      <c r="AW81" s="50">
        <v>74.5304</v>
      </c>
      <c r="AX81" s="50">
        <v>75.293000000000006</v>
      </c>
      <c r="AY81" s="50">
        <v>76.052800000000005</v>
      </c>
      <c r="AZ81" s="50">
        <v>76.572599999999994</v>
      </c>
      <c r="BA81" s="50">
        <v>77.090999999999994</v>
      </c>
      <c r="BB81" s="50">
        <v>77.608199999999997</v>
      </c>
      <c r="BC81" s="50">
        <v>78.124600000000001</v>
      </c>
      <c r="BD81" s="50">
        <v>78.650700000000001</v>
      </c>
      <c r="BE81" s="50">
        <v>79.160600000000002</v>
      </c>
      <c r="BF81" s="50">
        <v>79.670199999999994</v>
      </c>
      <c r="BG81" s="50">
        <v>80.1785</v>
      </c>
      <c r="BH81" s="50">
        <v>80.684600000000003</v>
      </c>
      <c r="BI81" s="50">
        <v>81.188100000000006</v>
      </c>
      <c r="BJ81" t="e">
        <v>#N/A</v>
      </c>
    </row>
    <row r="82" spans="1:63" ht="15.6" thickTop="1" thickBot="1" x14ac:dyDescent="0.35">
      <c r="A82" s="47" t="s">
        <v>242</v>
      </c>
      <c r="B82" s="51" t="s">
        <v>456</v>
      </c>
      <c r="C82" s="47" t="s">
        <v>241</v>
      </c>
      <c r="D82" s="47"/>
      <c r="E82" s="52"/>
      <c r="F82" s="52" t="s">
        <v>197</v>
      </c>
      <c r="G82" s="47" t="s">
        <v>99</v>
      </c>
      <c r="H82" s="47"/>
      <c r="I82" s="47"/>
      <c r="J82" s="55">
        <f>J81-SUM(J73:J80)</f>
        <v>0</v>
      </c>
      <c r="K82" s="55">
        <f t="shared" ref="K82:BI82" si="11">K81-SUM(K73:K80)</f>
        <v>0</v>
      </c>
      <c r="L82" s="55">
        <f t="shared" si="11"/>
        <v>0</v>
      </c>
      <c r="M82" s="55">
        <f t="shared" si="11"/>
        <v>0</v>
      </c>
      <c r="N82" s="55">
        <f t="shared" si="11"/>
        <v>0</v>
      </c>
      <c r="O82" s="55">
        <f t="shared" si="11"/>
        <v>0</v>
      </c>
      <c r="P82" s="55">
        <f t="shared" si="11"/>
        <v>0</v>
      </c>
      <c r="Q82" s="55">
        <f t="shared" si="11"/>
        <v>0</v>
      </c>
      <c r="R82" s="55">
        <f t="shared" si="11"/>
        <v>9.9999999999988987E-5</v>
      </c>
      <c r="S82" s="55">
        <f t="shared" si="11"/>
        <v>0</v>
      </c>
      <c r="T82" s="55">
        <f t="shared" si="11"/>
        <v>1.0000000000021103E-4</v>
      </c>
      <c r="U82" s="55">
        <f t="shared" si="11"/>
        <v>1.0000000000065512E-4</v>
      </c>
      <c r="V82" s="55">
        <f t="shared" si="11"/>
        <v>0</v>
      </c>
      <c r="W82" s="55">
        <f t="shared" si="11"/>
        <v>0</v>
      </c>
      <c r="X82" s="55">
        <f t="shared" si="11"/>
        <v>0</v>
      </c>
      <c r="Y82" s="55">
        <f t="shared" si="11"/>
        <v>-9.9999999999766942E-5</v>
      </c>
      <c r="Z82" s="55">
        <f t="shared" si="11"/>
        <v>0</v>
      </c>
      <c r="AA82" s="55">
        <f t="shared" si="11"/>
        <v>0</v>
      </c>
      <c r="AB82" s="55">
        <f t="shared" si="11"/>
        <v>9.9999999999766942E-5</v>
      </c>
      <c r="AC82" s="55">
        <f t="shared" si="11"/>
        <v>-9.9999999999766942E-5</v>
      </c>
      <c r="AD82" s="55">
        <f t="shared" si="11"/>
        <v>0</v>
      </c>
      <c r="AE82" s="55">
        <f t="shared" si="11"/>
        <v>0</v>
      </c>
      <c r="AF82" s="55">
        <f t="shared" si="11"/>
        <v>0</v>
      </c>
      <c r="AG82" s="55">
        <f t="shared" si="11"/>
        <v>0</v>
      </c>
      <c r="AH82" s="55">
        <f t="shared" si="11"/>
        <v>0</v>
      </c>
      <c r="AI82" s="55">
        <f t="shared" si="11"/>
        <v>0</v>
      </c>
      <c r="AJ82" s="55">
        <f t="shared" si="11"/>
        <v>9.9999999996214228E-5</v>
      </c>
      <c r="AK82" s="55">
        <f t="shared" si="11"/>
        <v>-1.9999999999953388E-4</v>
      </c>
      <c r="AL82" s="55">
        <f t="shared" si="11"/>
        <v>-1.0000000000331966E-4</v>
      </c>
      <c r="AM82" s="55">
        <f t="shared" si="11"/>
        <v>-9.9999999996214228E-5</v>
      </c>
      <c r="AN82" s="55">
        <f t="shared" si="11"/>
        <v>0</v>
      </c>
      <c r="AO82" s="55">
        <f t="shared" si="11"/>
        <v>1.0000000000331966E-4</v>
      </c>
      <c r="AP82" s="55">
        <f t="shared" si="11"/>
        <v>-1.0000000000331966E-4</v>
      </c>
      <c r="AQ82" s="55">
        <f t="shared" si="11"/>
        <v>0</v>
      </c>
      <c r="AR82" s="55">
        <f t="shared" si="11"/>
        <v>-1.0000000000331966E-4</v>
      </c>
      <c r="AS82" s="55">
        <f t="shared" si="11"/>
        <v>-1.0000000000331966E-4</v>
      </c>
      <c r="AT82" s="55">
        <f t="shared" si="11"/>
        <v>1.0000000000331966E-4</v>
      </c>
      <c r="AU82" s="55">
        <f t="shared" si="11"/>
        <v>9.9999999989108801E-5</v>
      </c>
      <c r="AV82" s="55">
        <f t="shared" si="11"/>
        <v>0</v>
      </c>
      <c r="AW82" s="55">
        <f t="shared" si="11"/>
        <v>0</v>
      </c>
      <c r="AX82" s="55">
        <f t="shared" si="11"/>
        <v>0</v>
      </c>
      <c r="AY82" s="55">
        <f t="shared" si="11"/>
        <v>1.0000000000331966E-4</v>
      </c>
      <c r="AZ82" s="55">
        <f t="shared" si="11"/>
        <v>0</v>
      </c>
      <c r="BA82" s="55">
        <f t="shared" si="11"/>
        <v>1.0000000000331966E-4</v>
      </c>
      <c r="BB82" s="55">
        <f t="shared" si="11"/>
        <v>0</v>
      </c>
      <c r="BC82" s="55">
        <f t="shared" si="11"/>
        <v>1.0000000000331966E-4</v>
      </c>
      <c r="BD82" s="55">
        <f t="shared" si="11"/>
        <v>1.0000000000331966E-4</v>
      </c>
      <c r="BE82" s="55">
        <f t="shared" si="11"/>
        <v>0</v>
      </c>
      <c r="BF82" s="55">
        <f t="shared" si="11"/>
        <v>1.0000000000331966E-4</v>
      </c>
      <c r="BG82" s="55">
        <f t="shared" si="11"/>
        <v>1.0000000000331966E-4</v>
      </c>
      <c r="BH82" s="55">
        <f t="shared" si="11"/>
        <v>-1.0000000000331966E-4</v>
      </c>
      <c r="BI82" s="55">
        <f t="shared" si="11"/>
        <v>1.0000000000331966E-4</v>
      </c>
    </row>
    <row r="83" spans="1:63" ht="15" thickTop="1" x14ac:dyDescent="0.3">
      <c r="A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</row>
    <row r="84" spans="1:63" x14ac:dyDescent="0.3">
      <c r="A84" s="47" t="s">
        <v>199</v>
      </c>
      <c r="B84" s="48" t="s">
        <v>429</v>
      </c>
      <c r="C84" s="47" t="s">
        <v>410</v>
      </c>
      <c r="D84" s="47" t="s">
        <v>233</v>
      </c>
      <c r="E84" s="47" t="s">
        <v>232</v>
      </c>
      <c r="F84" s="47" t="s">
        <v>240</v>
      </c>
      <c r="G84" s="47" t="s">
        <v>99</v>
      </c>
      <c r="H84" s="47" t="s">
        <v>239</v>
      </c>
      <c r="I84" s="49" t="s">
        <v>622</v>
      </c>
      <c r="J84" s="50">
        <v>109.74464</v>
      </c>
      <c r="K84" s="50">
        <v>108.94159999999999</v>
      </c>
      <c r="L84" s="50">
        <v>108.76653</v>
      </c>
      <c r="M84" s="50">
        <v>102.19669</v>
      </c>
      <c r="N84" s="50">
        <v>95.814179999999993</v>
      </c>
      <c r="O84" s="50">
        <v>94.961939999999998</v>
      </c>
      <c r="P84" s="50">
        <v>93.724890000000002</v>
      </c>
      <c r="Q84" s="50">
        <v>92.559179999999998</v>
      </c>
      <c r="R84" s="50">
        <v>91.379919999999998</v>
      </c>
      <c r="S84" s="50">
        <v>90.142489999999995</v>
      </c>
      <c r="T84" s="50">
        <v>88.780299999999997</v>
      </c>
      <c r="U84" s="50">
        <v>87.199860000000001</v>
      </c>
      <c r="V84" s="50">
        <v>85.233990000000006</v>
      </c>
      <c r="W84" s="50">
        <v>82.824100000000001</v>
      </c>
      <c r="X84" s="50">
        <v>79.894210000000001</v>
      </c>
      <c r="Y84" s="50">
        <v>76.419839999999994</v>
      </c>
      <c r="Z84" s="50">
        <v>72.415599999999998</v>
      </c>
      <c r="AA84" s="50">
        <v>67.927570000000003</v>
      </c>
      <c r="AB84" s="50">
        <v>63.041040000000002</v>
      </c>
      <c r="AC84" s="50">
        <v>57.883240000000001</v>
      </c>
      <c r="AD84" s="50">
        <v>52.612490000000001</v>
      </c>
      <c r="AE84" s="50">
        <v>47.401429999999998</v>
      </c>
      <c r="AF84" s="50">
        <v>42.418259999999997</v>
      </c>
      <c r="AG84" s="50">
        <v>37.81156</v>
      </c>
      <c r="AH84" s="50">
        <v>33.693289999999998</v>
      </c>
      <c r="AI84" s="50">
        <v>30.131219999999999</v>
      </c>
      <c r="AJ84" s="50">
        <v>26.78623</v>
      </c>
      <c r="AK84" s="50">
        <v>23.948979999999999</v>
      </c>
      <c r="AL84" s="50">
        <v>21.7258</v>
      </c>
      <c r="AM84" s="50">
        <v>19.949819999999999</v>
      </c>
      <c r="AN84" s="50">
        <v>18.533829999999998</v>
      </c>
      <c r="AO84" s="50">
        <v>17.393750000000001</v>
      </c>
      <c r="AP84" s="50">
        <v>16.6965</v>
      </c>
      <c r="AQ84" s="50">
        <v>16.161190000000001</v>
      </c>
      <c r="AR84" s="50">
        <v>15.751189999999999</v>
      </c>
      <c r="AS84" s="50">
        <v>15.43446</v>
      </c>
      <c r="AT84" s="50">
        <v>15.306800000000001</v>
      </c>
      <c r="AU84" s="50">
        <v>15.20956</v>
      </c>
      <c r="AV84" s="50">
        <v>15.119719999999999</v>
      </c>
      <c r="AW84" s="50">
        <v>15.054500000000001</v>
      </c>
      <c r="AX84" s="50">
        <v>14.992610000000001</v>
      </c>
      <c r="AY84" s="50">
        <v>14.93263</v>
      </c>
      <c r="AZ84" s="50">
        <v>14.87393</v>
      </c>
      <c r="BA84" s="50">
        <v>14.81636</v>
      </c>
      <c r="BB84" s="50">
        <v>14.75999</v>
      </c>
      <c r="BC84" s="50">
        <v>14.70504</v>
      </c>
      <c r="BD84" s="50">
        <v>14.651759999999999</v>
      </c>
      <c r="BE84" s="50">
        <v>14.600479999999999</v>
      </c>
      <c r="BF84" s="50">
        <v>14.55151</v>
      </c>
      <c r="BG84" s="50">
        <v>14.50521</v>
      </c>
      <c r="BH84" s="50">
        <v>14.46199</v>
      </c>
      <c r="BI84" s="50">
        <v>14.421099999999999</v>
      </c>
      <c r="BJ84" t="s">
        <v>519</v>
      </c>
      <c r="BK84" t="b">
        <v>1</v>
      </c>
    </row>
    <row r="85" spans="1:63" x14ac:dyDescent="0.3">
      <c r="A85" s="47" t="s">
        <v>199</v>
      </c>
      <c r="B85" s="51" t="s">
        <v>456</v>
      </c>
      <c r="C85" s="47" t="s">
        <v>198</v>
      </c>
      <c r="D85" s="47" t="s">
        <v>233</v>
      </c>
      <c r="E85" s="47"/>
      <c r="F85" s="47" t="s">
        <v>238</v>
      </c>
      <c r="G85" s="47" t="s">
        <v>99</v>
      </c>
      <c r="H85" s="47" t="s">
        <v>237</v>
      </c>
      <c r="I85" s="49" t="s">
        <v>622</v>
      </c>
      <c r="J85" s="50">
        <v>14.947649999999999</v>
      </c>
      <c r="K85" s="50">
        <v>14.83982</v>
      </c>
      <c r="L85" s="50">
        <v>14.70623</v>
      </c>
      <c r="M85" s="50">
        <v>14.59951</v>
      </c>
      <c r="N85" s="50">
        <v>14.50375</v>
      </c>
      <c r="O85" s="50">
        <v>14.41095</v>
      </c>
      <c r="P85" s="50">
        <v>14.292669999999999</v>
      </c>
      <c r="Q85" s="50">
        <v>14.17587</v>
      </c>
      <c r="R85" s="50">
        <v>14.04481</v>
      </c>
      <c r="S85" s="50">
        <v>13.89212</v>
      </c>
      <c r="T85" s="50">
        <v>13.707789999999999</v>
      </c>
      <c r="U85" s="50">
        <v>13.47871</v>
      </c>
      <c r="V85" s="50">
        <v>13.189830000000001</v>
      </c>
      <c r="W85" s="50">
        <v>12.82555</v>
      </c>
      <c r="X85" s="50">
        <v>12.372019999999999</v>
      </c>
      <c r="Y85" s="50">
        <v>11.8202</v>
      </c>
      <c r="Z85" s="50">
        <v>11.16813</v>
      </c>
      <c r="AA85" s="50">
        <v>10.42304</v>
      </c>
      <c r="AB85" s="50">
        <v>9.6023499999999995</v>
      </c>
      <c r="AC85" s="50">
        <v>8.7327600000000007</v>
      </c>
      <c r="AD85" s="50">
        <v>7.84701</v>
      </c>
      <c r="AE85" s="50">
        <v>6.97912</v>
      </c>
      <c r="AF85" s="50">
        <v>6.16</v>
      </c>
      <c r="AG85" s="50">
        <v>5.4143800000000004</v>
      </c>
      <c r="AH85" s="50">
        <v>4.7587200000000003</v>
      </c>
      <c r="AI85" s="50">
        <v>4.2009699999999999</v>
      </c>
      <c r="AJ85" s="50">
        <v>3.74139</v>
      </c>
      <c r="AK85" s="50">
        <v>3.3740100000000002</v>
      </c>
      <c r="AL85" s="50">
        <v>3.0884900000000002</v>
      </c>
      <c r="AM85" s="50">
        <v>2.8722400000000001</v>
      </c>
      <c r="AN85" s="50">
        <v>2.7118899999999999</v>
      </c>
      <c r="AO85" s="50">
        <v>2.5946500000000001</v>
      </c>
      <c r="AP85" s="50">
        <v>2.50922</v>
      </c>
      <c r="AQ85" s="50">
        <v>2.4462600000000001</v>
      </c>
      <c r="AR85" s="50">
        <v>2.39845</v>
      </c>
      <c r="AS85" s="50">
        <v>2.36043</v>
      </c>
      <c r="AT85" s="50">
        <v>2.3284799999999999</v>
      </c>
      <c r="AU85" s="50">
        <v>2.3001399999999999</v>
      </c>
      <c r="AV85" s="50">
        <v>2.2738700000000001</v>
      </c>
      <c r="AW85" s="50">
        <v>2.24878</v>
      </c>
      <c r="AX85" s="50">
        <v>2.2243599999999999</v>
      </c>
      <c r="AY85" s="50">
        <v>2.2003699999999999</v>
      </c>
      <c r="AZ85" s="50">
        <v>2.1766899999999998</v>
      </c>
      <c r="BA85" s="50">
        <v>2.15327</v>
      </c>
      <c r="BB85" s="50">
        <v>2.13009</v>
      </c>
      <c r="BC85" s="50">
        <v>2.10717</v>
      </c>
      <c r="BD85" s="50">
        <v>2.0845199999999999</v>
      </c>
      <c r="BE85" s="50">
        <v>2.0621399999999999</v>
      </c>
      <c r="BF85" s="50">
        <v>2.0400399999999999</v>
      </c>
      <c r="BG85" s="50">
        <v>2.0182099999999998</v>
      </c>
      <c r="BH85" s="50">
        <v>1.99664</v>
      </c>
      <c r="BI85" s="50">
        <v>1.9752799999999999</v>
      </c>
      <c r="BJ85" t="s">
        <v>520</v>
      </c>
      <c r="BK85" t="b">
        <v>1</v>
      </c>
    </row>
    <row r="86" spans="1:63" x14ac:dyDescent="0.3">
      <c r="A86" s="47" t="s">
        <v>199</v>
      </c>
      <c r="B86" s="51" t="s">
        <v>456</v>
      </c>
      <c r="C86" s="47" t="s">
        <v>198</v>
      </c>
      <c r="D86" s="47" t="s">
        <v>233</v>
      </c>
      <c r="E86" s="47"/>
      <c r="F86" s="47" t="s">
        <v>236</v>
      </c>
      <c r="G86" s="47" t="s">
        <v>99</v>
      </c>
      <c r="H86" s="47" t="s">
        <v>235</v>
      </c>
      <c r="I86" s="49" t="s">
        <v>622</v>
      </c>
      <c r="J86" s="50">
        <v>1.5501799999999999</v>
      </c>
      <c r="K86" s="50">
        <v>1.4763500000000001</v>
      </c>
      <c r="L86" s="50">
        <v>1.4925900000000001</v>
      </c>
      <c r="M86" s="50">
        <v>1.4208099999999999</v>
      </c>
      <c r="N86" s="50">
        <v>1.3483400000000001</v>
      </c>
      <c r="O86" s="50">
        <v>1.2804800000000001</v>
      </c>
      <c r="P86" s="50">
        <v>1.2165600000000001</v>
      </c>
      <c r="Q86" s="50">
        <v>1.1554899999999999</v>
      </c>
      <c r="R86" s="50">
        <v>1.03939</v>
      </c>
      <c r="S86" s="50">
        <v>0.93464999999999998</v>
      </c>
      <c r="T86" s="50">
        <v>0.84018000000000004</v>
      </c>
      <c r="U86" s="50">
        <v>0.755</v>
      </c>
      <c r="V86" s="50">
        <v>0.67972999999999995</v>
      </c>
      <c r="W86" s="50">
        <v>0.61175999999999997</v>
      </c>
      <c r="X86" s="50">
        <v>0.48925999999999997</v>
      </c>
      <c r="Y86" s="50">
        <v>0.39116000000000001</v>
      </c>
      <c r="Z86" s="50">
        <v>0.31263000000000002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0">
        <v>0</v>
      </c>
      <c r="AL86" s="50">
        <v>0</v>
      </c>
      <c r="AM86" s="50">
        <v>0</v>
      </c>
      <c r="AN86" s="50">
        <v>0</v>
      </c>
      <c r="AO86" s="50">
        <v>0</v>
      </c>
      <c r="AP86" s="50">
        <v>0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>
        <v>0</v>
      </c>
      <c r="BB86" s="50">
        <v>0</v>
      </c>
      <c r="BC86" s="50">
        <v>0</v>
      </c>
      <c r="BD86" s="50">
        <v>0</v>
      </c>
      <c r="BE86" s="50">
        <v>0</v>
      </c>
      <c r="BF86" s="50">
        <v>0</v>
      </c>
      <c r="BG86" s="50">
        <v>0</v>
      </c>
      <c r="BH86" s="50">
        <v>0</v>
      </c>
      <c r="BI86" s="50">
        <v>0</v>
      </c>
      <c r="BJ86" t="s">
        <v>521</v>
      </c>
      <c r="BK86" t="b">
        <v>1</v>
      </c>
    </row>
    <row r="87" spans="1:63" ht="15" thickBot="1" x14ac:dyDescent="0.35">
      <c r="A87" s="47" t="s">
        <v>199</v>
      </c>
      <c r="B87" s="48" t="s">
        <v>429</v>
      </c>
      <c r="C87" s="47" t="s">
        <v>411</v>
      </c>
      <c r="D87" s="47" t="s">
        <v>233</v>
      </c>
      <c r="E87" s="52"/>
      <c r="F87" s="52" t="s">
        <v>201</v>
      </c>
      <c r="G87" s="47" t="s">
        <v>99</v>
      </c>
      <c r="H87" s="47" t="s">
        <v>234</v>
      </c>
      <c r="I87" s="49" t="s">
        <v>622</v>
      </c>
      <c r="J87" s="50">
        <v>126.24247</v>
      </c>
      <c r="K87" s="50">
        <v>125.25776999999999</v>
      </c>
      <c r="L87" s="50">
        <v>124.96535</v>
      </c>
      <c r="M87" s="50">
        <v>118.21701</v>
      </c>
      <c r="N87" s="50">
        <v>111.66627</v>
      </c>
      <c r="O87" s="50">
        <v>110.65337</v>
      </c>
      <c r="P87" s="50">
        <v>109.23411</v>
      </c>
      <c r="Q87" s="50">
        <v>107.89053</v>
      </c>
      <c r="R87" s="50">
        <v>106.46411000000001</v>
      </c>
      <c r="S87" s="50">
        <v>104.96925</v>
      </c>
      <c r="T87" s="50">
        <v>103.32827</v>
      </c>
      <c r="U87" s="50">
        <v>101.43357</v>
      </c>
      <c r="V87" s="50">
        <v>99.103539999999995</v>
      </c>
      <c r="W87" s="50">
        <v>96.261409999999998</v>
      </c>
      <c r="X87" s="50">
        <v>92.755489999999995</v>
      </c>
      <c r="Y87" s="50">
        <v>88.631200000000007</v>
      </c>
      <c r="Z87" s="50">
        <v>83.896370000000005</v>
      </c>
      <c r="AA87" s="50">
        <v>78.350610000000003</v>
      </c>
      <c r="AB87" s="50">
        <v>72.643389999999997</v>
      </c>
      <c r="AC87" s="50">
        <v>66.616010000000003</v>
      </c>
      <c r="AD87" s="50">
        <v>60.459510000000002</v>
      </c>
      <c r="AE87" s="50">
        <v>54.380549999999999</v>
      </c>
      <c r="AF87" s="50">
        <v>48.57826</v>
      </c>
      <c r="AG87" s="50">
        <v>43.225949999999997</v>
      </c>
      <c r="AH87" s="50">
        <v>38.452010000000001</v>
      </c>
      <c r="AI87" s="50">
        <v>34.332189999999997</v>
      </c>
      <c r="AJ87" s="50">
        <v>30.527629999999998</v>
      </c>
      <c r="AK87" s="50">
        <v>27.323</v>
      </c>
      <c r="AL87" s="50">
        <v>24.814299999999999</v>
      </c>
      <c r="AM87" s="50">
        <v>22.82206</v>
      </c>
      <c r="AN87" s="50">
        <v>21.245719999999999</v>
      </c>
      <c r="AO87" s="50">
        <v>19.988399999999999</v>
      </c>
      <c r="AP87" s="50">
        <v>19.205719999999999</v>
      </c>
      <c r="AQ87" s="50">
        <v>18.60744</v>
      </c>
      <c r="AR87" s="50">
        <v>18.149640000000002</v>
      </c>
      <c r="AS87" s="50">
        <v>17.794899999999998</v>
      </c>
      <c r="AT87" s="50">
        <v>17.635280000000002</v>
      </c>
      <c r="AU87" s="50">
        <v>17.509699999999999</v>
      </c>
      <c r="AV87" s="50">
        <v>17.39359</v>
      </c>
      <c r="AW87" s="50">
        <v>17.303280000000001</v>
      </c>
      <c r="AX87" s="50">
        <v>17.21697</v>
      </c>
      <c r="AY87" s="50">
        <v>17.132999999999999</v>
      </c>
      <c r="AZ87" s="50">
        <v>17.050630000000002</v>
      </c>
      <c r="BA87" s="50">
        <v>16.969629999999999</v>
      </c>
      <c r="BB87" s="50">
        <v>16.890080000000001</v>
      </c>
      <c r="BC87" s="50">
        <v>16.81221</v>
      </c>
      <c r="BD87" s="50">
        <v>16.736280000000001</v>
      </c>
      <c r="BE87" s="50">
        <v>16.66262</v>
      </c>
      <c r="BF87" s="50">
        <v>16.591550000000002</v>
      </c>
      <c r="BG87" s="50">
        <v>16.523409999999998</v>
      </c>
      <c r="BH87" s="50">
        <v>16.458639999999999</v>
      </c>
      <c r="BI87" s="50">
        <v>16.396380000000001</v>
      </c>
    </row>
    <row r="88" spans="1:63" ht="15.6" thickTop="1" thickBot="1" x14ac:dyDescent="0.35">
      <c r="A88" s="47" t="s">
        <v>199</v>
      </c>
      <c r="B88" s="51" t="s">
        <v>456</v>
      </c>
      <c r="C88" s="47" t="s">
        <v>198</v>
      </c>
      <c r="D88" s="47" t="s">
        <v>233</v>
      </c>
      <c r="E88" s="54"/>
      <c r="F88" s="52" t="s">
        <v>197</v>
      </c>
      <c r="G88" s="53" t="s">
        <v>99</v>
      </c>
      <c r="H88" s="53"/>
      <c r="I88" s="53"/>
      <c r="J88" s="55">
        <f>J87-SUM(J84:J86)</f>
        <v>0</v>
      </c>
      <c r="K88" s="55">
        <f t="shared" ref="K88:BI88" si="12">K87-SUM(K84:K86)</f>
        <v>0</v>
      </c>
      <c r="L88" s="55">
        <f t="shared" si="12"/>
        <v>0</v>
      </c>
      <c r="M88" s="55">
        <f t="shared" si="12"/>
        <v>0</v>
      </c>
      <c r="N88" s="55">
        <f t="shared" si="12"/>
        <v>0</v>
      </c>
      <c r="O88" s="55">
        <f t="shared" si="12"/>
        <v>0</v>
      </c>
      <c r="P88" s="55">
        <f t="shared" si="12"/>
        <v>-1.0000000003174137E-5</v>
      </c>
      <c r="Q88" s="55">
        <f t="shared" si="12"/>
        <v>-1.0000000003174137E-5</v>
      </c>
      <c r="R88" s="55">
        <f t="shared" si="12"/>
        <v>-9.9999999889632818E-6</v>
      </c>
      <c r="S88" s="55">
        <f t="shared" si="12"/>
        <v>-1.0000000003174137E-5</v>
      </c>
      <c r="T88" s="55">
        <f t="shared" si="12"/>
        <v>0</v>
      </c>
      <c r="U88" s="55">
        <f t="shared" si="12"/>
        <v>0</v>
      </c>
      <c r="V88" s="55">
        <f t="shared" si="12"/>
        <v>-1.0000000017384991E-5</v>
      </c>
      <c r="W88" s="55">
        <f t="shared" si="12"/>
        <v>0</v>
      </c>
      <c r="X88" s="55">
        <f t="shared" si="12"/>
        <v>0</v>
      </c>
      <c r="Y88" s="55">
        <f t="shared" si="12"/>
        <v>0</v>
      </c>
      <c r="Z88" s="55">
        <f t="shared" si="12"/>
        <v>1.0000000003174137E-5</v>
      </c>
      <c r="AA88" s="55">
        <f t="shared" si="12"/>
        <v>0</v>
      </c>
      <c r="AB88" s="55">
        <f t="shared" si="12"/>
        <v>0</v>
      </c>
      <c r="AC88" s="55">
        <f t="shared" si="12"/>
        <v>1.0000000003174137E-5</v>
      </c>
      <c r="AD88" s="55">
        <f t="shared" si="12"/>
        <v>1.0000000003174137E-5</v>
      </c>
      <c r="AE88" s="55">
        <f t="shared" si="12"/>
        <v>0</v>
      </c>
      <c r="AF88" s="55">
        <f t="shared" si="12"/>
        <v>0</v>
      </c>
      <c r="AG88" s="55">
        <f t="shared" si="12"/>
        <v>9.9999999960687092E-6</v>
      </c>
      <c r="AH88" s="55">
        <f t="shared" si="12"/>
        <v>0</v>
      </c>
      <c r="AI88" s="55">
        <f t="shared" si="12"/>
        <v>0</v>
      </c>
      <c r="AJ88" s="55">
        <f t="shared" si="12"/>
        <v>9.9999999996214228E-6</v>
      </c>
      <c r="AK88" s="55">
        <f t="shared" si="12"/>
        <v>1.0000000003174137E-5</v>
      </c>
      <c r="AL88" s="55">
        <f t="shared" si="12"/>
        <v>9.9999999996214228E-6</v>
      </c>
      <c r="AM88" s="55">
        <f t="shared" si="12"/>
        <v>0</v>
      </c>
      <c r="AN88" s="55">
        <f t="shared" si="12"/>
        <v>0</v>
      </c>
      <c r="AO88" s="55">
        <f t="shared" si="12"/>
        <v>0</v>
      </c>
      <c r="AP88" s="55">
        <f t="shared" si="12"/>
        <v>0</v>
      </c>
      <c r="AQ88" s="55">
        <f t="shared" si="12"/>
        <v>-9.9999999996214228E-6</v>
      </c>
      <c r="AR88" s="55">
        <f t="shared" si="12"/>
        <v>0</v>
      </c>
      <c r="AS88" s="55">
        <f t="shared" si="12"/>
        <v>9.9999999996214228E-6</v>
      </c>
      <c r="AT88" s="55">
        <f t="shared" si="12"/>
        <v>0</v>
      </c>
      <c r="AU88" s="55">
        <f t="shared" si="12"/>
        <v>0</v>
      </c>
      <c r="AV88" s="55">
        <f t="shared" si="12"/>
        <v>0</v>
      </c>
      <c r="AW88" s="55">
        <f t="shared" si="12"/>
        <v>0</v>
      </c>
      <c r="AX88" s="55">
        <f t="shared" si="12"/>
        <v>0</v>
      </c>
      <c r="AY88" s="55">
        <f t="shared" si="12"/>
        <v>0</v>
      </c>
      <c r="AZ88" s="55">
        <f t="shared" si="12"/>
        <v>1.0000000003174137E-5</v>
      </c>
      <c r="BA88" s="55">
        <f t="shared" si="12"/>
        <v>0</v>
      </c>
      <c r="BB88" s="55">
        <f t="shared" si="12"/>
        <v>0</v>
      </c>
      <c r="BC88" s="55">
        <f t="shared" si="12"/>
        <v>0</v>
      </c>
      <c r="BD88" s="55">
        <f t="shared" si="12"/>
        <v>0</v>
      </c>
      <c r="BE88" s="55">
        <f t="shared" si="12"/>
        <v>0</v>
      </c>
      <c r="BF88" s="55">
        <f t="shared" si="12"/>
        <v>0</v>
      </c>
      <c r="BG88" s="55">
        <f t="shared" si="12"/>
        <v>-1.0000000003174137E-5</v>
      </c>
      <c r="BH88" s="55">
        <f t="shared" si="12"/>
        <v>9.9999999996214228E-6</v>
      </c>
      <c r="BI88" s="55">
        <f t="shared" si="12"/>
        <v>0</v>
      </c>
    </row>
    <row r="89" spans="1:63" ht="15" thickTop="1" x14ac:dyDescent="0.3">
      <c r="A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</row>
    <row r="90" spans="1:63" x14ac:dyDescent="0.3">
      <c r="A90" s="47" t="s">
        <v>199</v>
      </c>
      <c r="B90" s="48" t="s">
        <v>429</v>
      </c>
      <c r="C90" s="47" t="s">
        <v>412</v>
      </c>
      <c r="D90" s="47" t="s">
        <v>224</v>
      </c>
      <c r="E90" s="47" t="s">
        <v>232</v>
      </c>
      <c r="F90" s="47" t="s">
        <v>231</v>
      </c>
      <c r="G90" s="47" t="s">
        <v>99</v>
      </c>
      <c r="H90" s="47" t="s">
        <v>230</v>
      </c>
      <c r="I90" s="49" t="s">
        <v>622</v>
      </c>
      <c r="J90" s="50">
        <v>62.255240000000001</v>
      </c>
      <c r="K90" s="50">
        <v>61.172069999999998</v>
      </c>
      <c r="L90" s="50">
        <v>60.865369999999999</v>
      </c>
      <c r="M90" s="50">
        <v>56.16028</v>
      </c>
      <c r="N90" s="50">
        <v>52.817300000000003</v>
      </c>
      <c r="O90" s="50">
        <v>52.359409999999997</v>
      </c>
      <c r="P90" s="50">
        <v>51.822270000000003</v>
      </c>
      <c r="Q90" s="50">
        <v>51.19903</v>
      </c>
      <c r="R90" s="50">
        <v>50.483040000000003</v>
      </c>
      <c r="S90" s="50">
        <v>49.667070000000002</v>
      </c>
      <c r="T90" s="50">
        <v>48.740859999999998</v>
      </c>
      <c r="U90" s="50">
        <v>47.687199999999997</v>
      </c>
      <c r="V90" s="50">
        <v>46.465960000000003</v>
      </c>
      <c r="W90" s="50">
        <v>45.069429999999997</v>
      </c>
      <c r="X90" s="50">
        <v>43.487099999999998</v>
      </c>
      <c r="Y90" s="50">
        <v>41.734850000000002</v>
      </c>
      <c r="Z90" s="50">
        <v>39.851329999999997</v>
      </c>
      <c r="AA90" s="50">
        <v>37.881959999999999</v>
      </c>
      <c r="AB90" s="50">
        <v>35.852119999999999</v>
      </c>
      <c r="AC90" s="50">
        <v>33.709350000000001</v>
      </c>
      <c r="AD90" s="50">
        <v>31.580400000000001</v>
      </c>
      <c r="AE90" s="50">
        <v>29.4772</v>
      </c>
      <c r="AF90" s="50">
        <v>27.410309999999999</v>
      </c>
      <c r="AG90" s="50">
        <v>25.3902</v>
      </c>
      <c r="AH90" s="50">
        <v>23.428129999999999</v>
      </c>
      <c r="AI90" s="50">
        <v>21.53661</v>
      </c>
      <c r="AJ90" s="50">
        <v>19.72869</v>
      </c>
      <c r="AK90" s="50">
        <v>18.019220000000001</v>
      </c>
      <c r="AL90" s="50">
        <v>16.422509999999999</v>
      </c>
      <c r="AM90" s="50">
        <v>14.95051</v>
      </c>
      <c r="AN90" s="50">
        <v>13.61176</v>
      </c>
      <c r="AO90" s="50">
        <v>12.41038</v>
      </c>
      <c r="AP90" s="50">
        <v>11.345789999999999</v>
      </c>
      <c r="AQ90" s="50">
        <v>10.413069999999999</v>
      </c>
      <c r="AR90" s="50">
        <v>9.6037599999999994</v>
      </c>
      <c r="AS90" s="50">
        <v>8.9069199999999995</v>
      </c>
      <c r="AT90" s="50">
        <v>8.3102499999999999</v>
      </c>
      <c r="AU90" s="50">
        <v>7.8009899999999996</v>
      </c>
      <c r="AV90" s="50">
        <v>7.3666400000000003</v>
      </c>
      <c r="AW90" s="50">
        <v>6.9954799999999997</v>
      </c>
      <c r="AX90" s="50">
        <v>6.6768799999999997</v>
      </c>
      <c r="AY90" s="50">
        <v>6.4014800000000003</v>
      </c>
      <c r="AZ90" s="50">
        <v>6.1612099999999996</v>
      </c>
      <c r="BA90" s="50">
        <v>5.9492599999999998</v>
      </c>
      <c r="BB90" s="50">
        <v>5.7599900000000002</v>
      </c>
      <c r="BC90" s="50">
        <v>5.5887799999999999</v>
      </c>
      <c r="BD90" s="50">
        <v>5.4312100000000001</v>
      </c>
      <c r="BE90" s="50">
        <v>5.2823399999999996</v>
      </c>
      <c r="BF90" s="50">
        <v>5.1424700000000003</v>
      </c>
      <c r="BG90" s="50">
        <v>5.0145400000000002</v>
      </c>
      <c r="BH90" s="50">
        <v>4.9123700000000001</v>
      </c>
      <c r="BI90" s="50">
        <v>4.7960200000000004</v>
      </c>
      <c r="BJ90" t="e">
        <v>#N/A</v>
      </c>
      <c r="BK90" t="b">
        <v>1</v>
      </c>
    </row>
    <row r="91" spans="1:63" x14ac:dyDescent="0.3">
      <c r="A91" s="47" t="s">
        <v>199</v>
      </c>
      <c r="B91" s="51" t="s">
        <v>456</v>
      </c>
      <c r="C91" s="47" t="s">
        <v>198</v>
      </c>
      <c r="D91" s="47" t="s">
        <v>224</v>
      </c>
      <c r="E91" s="47"/>
      <c r="F91" s="47" t="s">
        <v>229</v>
      </c>
      <c r="G91" s="47" t="s">
        <v>99</v>
      </c>
      <c r="H91" s="47" t="s">
        <v>228</v>
      </c>
      <c r="I91" s="49" t="s">
        <v>622</v>
      </c>
      <c r="J91" s="50">
        <v>13.877280000000001</v>
      </c>
      <c r="K91" s="50">
        <v>13.853020000000001</v>
      </c>
      <c r="L91" s="50">
        <v>13.78937</v>
      </c>
      <c r="M91" s="50">
        <v>13.78932</v>
      </c>
      <c r="N91" s="50">
        <v>13.701890000000001</v>
      </c>
      <c r="O91" s="50">
        <v>13.60923</v>
      </c>
      <c r="P91" s="50">
        <v>13.507009999999999</v>
      </c>
      <c r="Q91" s="50">
        <v>13.389939999999999</v>
      </c>
      <c r="R91" s="50">
        <v>13.24982</v>
      </c>
      <c r="S91" s="50">
        <v>13.074920000000001</v>
      </c>
      <c r="T91" s="50">
        <v>12.849629999999999</v>
      </c>
      <c r="U91" s="50">
        <v>12.554690000000001</v>
      </c>
      <c r="V91" s="50">
        <v>12.16919</v>
      </c>
      <c r="W91" s="50">
        <v>11.67385</v>
      </c>
      <c r="X91" s="50">
        <v>11.05559</v>
      </c>
      <c r="Y91" s="50">
        <v>10.31265</v>
      </c>
      <c r="Z91" s="50">
        <v>9.4579799999999992</v>
      </c>
      <c r="AA91" s="50">
        <v>8.5194500000000009</v>
      </c>
      <c r="AB91" s="50">
        <v>7.5360500000000004</v>
      </c>
      <c r="AC91" s="50">
        <v>6.55131</v>
      </c>
      <c r="AD91" s="50">
        <v>5.6062500000000002</v>
      </c>
      <c r="AE91" s="50">
        <v>4.7337999999999996</v>
      </c>
      <c r="AF91" s="50">
        <v>3.9561999999999999</v>
      </c>
      <c r="AG91" s="50">
        <v>3.2848000000000002</v>
      </c>
      <c r="AH91" s="50">
        <v>2.72173</v>
      </c>
      <c r="AI91" s="50">
        <v>2.2621799999999999</v>
      </c>
      <c r="AJ91" s="50">
        <v>1.8968</v>
      </c>
      <c r="AK91" s="50">
        <v>1.6135999999999999</v>
      </c>
      <c r="AL91" s="50">
        <v>1.3995</v>
      </c>
      <c r="AM91" s="50">
        <v>1.2415499999999999</v>
      </c>
      <c r="AN91" s="50">
        <v>1.12761</v>
      </c>
      <c r="AO91" s="50">
        <v>1.0469599999999999</v>
      </c>
      <c r="AP91" s="50">
        <v>0.99055000000000004</v>
      </c>
      <c r="AQ91" s="50">
        <v>0.95111000000000001</v>
      </c>
      <c r="AR91" s="50">
        <v>0.92308000000000001</v>
      </c>
      <c r="AS91" s="50">
        <v>0.90241000000000005</v>
      </c>
      <c r="AT91" s="50">
        <v>0.88627999999999996</v>
      </c>
      <c r="AU91" s="50">
        <v>0.87285000000000001</v>
      </c>
      <c r="AV91" s="50">
        <v>0.86095999999999995</v>
      </c>
      <c r="AW91" s="50">
        <v>0.84992000000000001</v>
      </c>
      <c r="AX91" s="50">
        <v>0.83931999999999995</v>
      </c>
      <c r="AY91" s="50">
        <v>0.82896999999999998</v>
      </c>
      <c r="AZ91" s="50">
        <v>0.81877</v>
      </c>
      <c r="BA91" s="50">
        <v>0.80864999999999998</v>
      </c>
      <c r="BB91" s="50">
        <v>0.79859999999999998</v>
      </c>
      <c r="BC91" s="50">
        <v>0.78861000000000003</v>
      </c>
      <c r="BD91" s="50">
        <v>0.77868000000000004</v>
      </c>
      <c r="BE91" s="50">
        <v>0.76881999999999995</v>
      </c>
      <c r="BF91" s="50">
        <v>0.75902999999999998</v>
      </c>
      <c r="BG91" s="50">
        <v>0.74929000000000001</v>
      </c>
      <c r="BH91" s="50">
        <v>0.73962000000000006</v>
      </c>
      <c r="BI91" s="50">
        <v>0.72997999999999996</v>
      </c>
      <c r="BJ91" t="e">
        <v>#N/A</v>
      </c>
      <c r="BK91" t="b">
        <v>1</v>
      </c>
    </row>
    <row r="92" spans="1:63" x14ac:dyDescent="0.3">
      <c r="A92" s="47" t="s">
        <v>199</v>
      </c>
      <c r="B92" s="51" t="s">
        <v>456</v>
      </c>
      <c r="C92" s="47" t="s">
        <v>198</v>
      </c>
      <c r="D92" s="47" t="s">
        <v>224</v>
      </c>
      <c r="E92" s="47"/>
      <c r="F92" s="47" t="s">
        <v>227</v>
      </c>
      <c r="G92" s="47" t="s">
        <v>99</v>
      </c>
      <c r="H92" s="47" t="s">
        <v>226</v>
      </c>
      <c r="I92" s="49" t="s">
        <v>622</v>
      </c>
      <c r="J92" s="50">
        <v>4.6632800000000003</v>
      </c>
      <c r="K92" s="50">
        <v>4.6658499999999998</v>
      </c>
      <c r="L92" s="50">
        <v>4.6494299999999997</v>
      </c>
      <c r="M92" s="50">
        <v>4.6316199999999998</v>
      </c>
      <c r="N92" s="50">
        <v>4.5967000000000002</v>
      </c>
      <c r="O92" s="50">
        <v>4.5757000000000003</v>
      </c>
      <c r="P92" s="50">
        <v>4.5380599999999998</v>
      </c>
      <c r="Q92" s="50">
        <v>4.4623299999999997</v>
      </c>
      <c r="R92" s="50">
        <v>4.3848700000000003</v>
      </c>
      <c r="S92" s="50">
        <v>4.3228400000000002</v>
      </c>
      <c r="T92" s="50">
        <v>4.2594399999999997</v>
      </c>
      <c r="U92" s="50">
        <v>4.1680799999999998</v>
      </c>
      <c r="V92" s="50">
        <v>4.0524800000000001</v>
      </c>
      <c r="W92" s="50">
        <v>3.9379400000000002</v>
      </c>
      <c r="X92" s="50">
        <v>3.8410199999999999</v>
      </c>
      <c r="Y92" s="50">
        <v>3.7447900000000001</v>
      </c>
      <c r="Z92" s="50">
        <v>3.6654</v>
      </c>
      <c r="AA92" s="50">
        <v>3.5863200000000002</v>
      </c>
      <c r="AB92" s="50">
        <v>3.50759</v>
      </c>
      <c r="AC92" s="50">
        <v>3.4447399999999999</v>
      </c>
      <c r="AD92" s="50">
        <v>3.3818600000000001</v>
      </c>
      <c r="AE92" s="50">
        <v>3.3189799999999998</v>
      </c>
      <c r="AF92" s="50">
        <v>3.2710300000000001</v>
      </c>
      <c r="AG92" s="50">
        <v>3.2227399999999999</v>
      </c>
      <c r="AH92" s="50">
        <v>3.2079399999999998</v>
      </c>
      <c r="AI92" s="50">
        <v>3.2075</v>
      </c>
      <c r="AJ92" s="50">
        <v>3.20682</v>
      </c>
      <c r="AK92" s="50">
        <v>3.2059000000000002</v>
      </c>
      <c r="AL92" s="50">
        <v>3.20472</v>
      </c>
      <c r="AM92" s="50">
        <v>3.20329</v>
      </c>
      <c r="AN92" s="50">
        <v>3.2016300000000002</v>
      </c>
      <c r="AO92" s="50">
        <v>3.1997100000000001</v>
      </c>
      <c r="AP92" s="50">
        <v>3.19753</v>
      </c>
      <c r="AQ92" s="50">
        <v>3.19509</v>
      </c>
      <c r="AR92" s="50">
        <v>3.19238</v>
      </c>
      <c r="AS92" s="50">
        <v>3.1893799999999999</v>
      </c>
      <c r="AT92" s="50">
        <v>3.1861299999999999</v>
      </c>
      <c r="AU92" s="50">
        <v>3.1826400000000001</v>
      </c>
      <c r="AV92" s="50">
        <v>3.1789700000000001</v>
      </c>
      <c r="AW92" s="50">
        <v>3.1751399999999999</v>
      </c>
      <c r="AX92" s="50">
        <v>3.1711999999999998</v>
      </c>
      <c r="AY92" s="50">
        <v>3.1671999999999998</v>
      </c>
      <c r="AZ92" s="50">
        <v>3.1632099999999999</v>
      </c>
      <c r="BA92" s="50">
        <v>3.15923</v>
      </c>
      <c r="BB92" s="50">
        <v>3.1553100000000001</v>
      </c>
      <c r="BC92" s="50">
        <v>3.1514899999999999</v>
      </c>
      <c r="BD92" s="50">
        <v>3.1478000000000002</v>
      </c>
      <c r="BE92" s="50">
        <v>3.14425</v>
      </c>
      <c r="BF92" s="50">
        <v>3.1408499999999999</v>
      </c>
      <c r="BG92" s="50">
        <v>3.13761</v>
      </c>
      <c r="BH92" s="50">
        <v>3.1345200000000002</v>
      </c>
      <c r="BI92" s="50">
        <v>3.1315200000000001</v>
      </c>
      <c r="BJ92" t="e">
        <v>#N/A</v>
      </c>
      <c r="BK92" t="b">
        <v>1</v>
      </c>
    </row>
    <row r="93" spans="1:63" ht="15" thickBot="1" x14ac:dyDescent="0.35">
      <c r="A93" s="47" t="s">
        <v>199</v>
      </c>
      <c r="B93" s="48" t="s">
        <v>429</v>
      </c>
      <c r="C93" s="47" t="s">
        <v>413</v>
      </c>
      <c r="D93" s="47" t="s">
        <v>224</v>
      </c>
      <c r="E93" s="52"/>
      <c r="F93" s="52" t="s">
        <v>201</v>
      </c>
      <c r="G93" s="47" t="s">
        <v>99</v>
      </c>
      <c r="H93" s="47" t="s">
        <v>225</v>
      </c>
      <c r="I93" s="49" t="s">
        <v>622</v>
      </c>
      <c r="J93" s="50">
        <v>80.7958</v>
      </c>
      <c r="K93" s="50">
        <v>79.690939999999998</v>
      </c>
      <c r="L93" s="50">
        <v>79.304169999999999</v>
      </c>
      <c r="M93" s="50">
        <v>74.581230000000005</v>
      </c>
      <c r="N93" s="50">
        <v>71.115889999999993</v>
      </c>
      <c r="O93" s="50">
        <v>70.544349999999994</v>
      </c>
      <c r="P93" s="50">
        <v>69.867339999999999</v>
      </c>
      <c r="Q93" s="50">
        <v>69.051289999999995</v>
      </c>
      <c r="R93" s="50">
        <v>68.117720000000006</v>
      </c>
      <c r="S93" s="50">
        <v>67.064830000000001</v>
      </c>
      <c r="T93" s="50">
        <v>65.849930000000001</v>
      </c>
      <c r="U93" s="50">
        <v>64.409980000000004</v>
      </c>
      <c r="V93" s="50">
        <v>62.687629999999999</v>
      </c>
      <c r="W93" s="50">
        <v>60.681229999999999</v>
      </c>
      <c r="X93" s="50">
        <v>58.383719999999997</v>
      </c>
      <c r="Y93" s="50">
        <v>55.792299999999997</v>
      </c>
      <c r="Z93" s="50">
        <v>52.974710000000002</v>
      </c>
      <c r="AA93" s="50">
        <v>49.987740000000002</v>
      </c>
      <c r="AB93" s="50">
        <v>46.895760000000003</v>
      </c>
      <c r="AC93" s="50">
        <v>43.705399999999997</v>
      </c>
      <c r="AD93" s="50">
        <v>40.568510000000003</v>
      </c>
      <c r="AE93" s="50">
        <v>37.529980000000002</v>
      </c>
      <c r="AF93" s="50">
        <v>34.637529999999998</v>
      </c>
      <c r="AG93" s="50">
        <v>31.897739999999999</v>
      </c>
      <c r="AH93" s="50">
        <v>29.357790000000001</v>
      </c>
      <c r="AI93" s="50">
        <v>27.00628</v>
      </c>
      <c r="AJ93" s="50">
        <v>24.83231</v>
      </c>
      <c r="AK93" s="50">
        <v>22.838719999999999</v>
      </c>
      <c r="AL93" s="50">
        <v>21.026730000000001</v>
      </c>
      <c r="AM93" s="50">
        <v>19.395350000000001</v>
      </c>
      <c r="AN93" s="50">
        <v>17.940999999999999</v>
      </c>
      <c r="AO93" s="50">
        <v>16.657039999999999</v>
      </c>
      <c r="AP93" s="50">
        <v>15.533860000000001</v>
      </c>
      <c r="AQ93" s="50">
        <v>14.55927</v>
      </c>
      <c r="AR93" s="50">
        <v>13.71922</v>
      </c>
      <c r="AS93" s="50">
        <v>12.998699999999999</v>
      </c>
      <c r="AT93" s="50">
        <v>12.38265</v>
      </c>
      <c r="AU93" s="50">
        <v>11.856479999999999</v>
      </c>
      <c r="AV93" s="50">
        <v>11.40657</v>
      </c>
      <c r="AW93" s="50">
        <v>11.02054</v>
      </c>
      <c r="AX93" s="50">
        <v>10.6874</v>
      </c>
      <c r="AY93" s="50">
        <v>10.39766</v>
      </c>
      <c r="AZ93" s="50">
        <v>10.143190000000001</v>
      </c>
      <c r="BA93" s="50">
        <v>9.9171399999999998</v>
      </c>
      <c r="BB93" s="50">
        <v>9.7139000000000006</v>
      </c>
      <c r="BC93" s="50">
        <v>9.5288799999999991</v>
      </c>
      <c r="BD93" s="50">
        <v>9.3576899999999998</v>
      </c>
      <c r="BE93" s="50">
        <v>9.1954200000000004</v>
      </c>
      <c r="BF93" s="50">
        <v>9.0423500000000008</v>
      </c>
      <c r="BG93" s="50">
        <v>8.9014399999999991</v>
      </c>
      <c r="BH93" s="50">
        <v>8.7865099999999998</v>
      </c>
      <c r="BI93" s="50">
        <v>8.6575100000000003</v>
      </c>
    </row>
    <row r="94" spans="1:63" ht="15.6" thickTop="1" thickBot="1" x14ac:dyDescent="0.35">
      <c r="A94" s="47" t="s">
        <v>199</v>
      </c>
      <c r="B94" s="51" t="s">
        <v>456</v>
      </c>
      <c r="C94" s="47" t="s">
        <v>198</v>
      </c>
      <c r="D94" s="47" t="s">
        <v>224</v>
      </c>
      <c r="E94" s="54"/>
      <c r="F94" s="52" t="s">
        <v>197</v>
      </c>
      <c r="G94" s="53" t="s">
        <v>99</v>
      </c>
      <c r="H94" s="53"/>
      <c r="I94" s="53"/>
      <c r="J94" s="55">
        <f>J93-SUM(J90:J92)</f>
        <v>0</v>
      </c>
      <c r="K94" s="55">
        <f t="shared" ref="K94:BI94" si="13">K93-SUM(K90:K92)</f>
        <v>0</v>
      </c>
      <c r="L94" s="55">
        <f t="shared" si="13"/>
        <v>0</v>
      </c>
      <c r="M94" s="55">
        <f t="shared" si="13"/>
        <v>1.0000000003174137E-5</v>
      </c>
      <c r="N94" s="55">
        <f t="shared" si="13"/>
        <v>0</v>
      </c>
      <c r="O94" s="55">
        <f t="shared" si="13"/>
        <v>1.0000000003174137E-5</v>
      </c>
      <c r="P94" s="55">
        <f t="shared" si="13"/>
        <v>0</v>
      </c>
      <c r="Q94" s="55">
        <f t="shared" si="13"/>
        <v>-1.0000000003174137E-5</v>
      </c>
      <c r="R94" s="55">
        <f t="shared" si="13"/>
        <v>-1.0000000003174137E-5</v>
      </c>
      <c r="S94" s="55">
        <f t="shared" si="13"/>
        <v>0</v>
      </c>
      <c r="T94" s="55">
        <f t="shared" si="13"/>
        <v>0</v>
      </c>
      <c r="U94" s="55">
        <f t="shared" si="13"/>
        <v>1.0000000003174137E-5</v>
      </c>
      <c r="V94" s="55">
        <f t="shared" si="13"/>
        <v>0</v>
      </c>
      <c r="W94" s="55">
        <f t="shared" si="13"/>
        <v>1.0000000003174137E-5</v>
      </c>
      <c r="X94" s="55">
        <f t="shared" si="13"/>
        <v>9.9999999960687092E-6</v>
      </c>
      <c r="Y94" s="55">
        <f t="shared" si="13"/>
        <v>9.9999999960687092E-6</v>
      </c>
      <c r="Z94" s="55">
        <f t="shared" si="13"/>
        <v>0</v>
      </c>
      <c r="AA94" s="55">
        <f t="shared" si="13"/>
        <v>1.0000000003174137E-5</v>
      </c>
      <c r="AB94" s="55">
        <f t="shared" si="13"/>
        <v>0</v>
      </c>
      <c r="AC94" s="55">
        <f t="shared" si="13"/>
        <v>0</v>
      </c>
      <c r="AD94" s="55">
        <f t="shared" si="13"/>
        <v>0</v>
      </c>
      <c r="AE94" s="55">
        <f t="shared" si="13"/>
        <v>0</v>
      </c>
      <c r="AF94" s="55">
        <f t="shared" si="13"/>
        <v>-1.0000000003174137E-5</v>
      </c>
      <c r="AG94" s="55">
        <f t="shared" si="13"/>
        <v>0</v>
      </c>
      <c r="AH94" s="55">
        <f t="shared" si="13"/>
        <v>-9.9999999996214228E-6</v>
      </c>
      <c r="AI94" s="55">
        <f t="shared" si="13"/>
        <v>-9.9999999996214228E-6</v>
      </c>
      <c r="AJ94" s="55">
        <f t="shared" si="13"/>
        <v>0</v>
      </c>
      <c r="AK94" s="55">
        <f t="shared" si="13"/>
        <v>0</v>
      </c>
      <c r="AL94" s="55">
        <f t="shared" si="13"/>
        <v>0</v>
      </c>
      <c r="AM94" s="55">
        <f t="shared" si="13"/>
        <v>0</v>
      </c>
      <c r="AN94" s="55">
        <f t="shared" si="13"/>
        <v>0</v>
      </c>
      <c r="AO94" s="55">
        <f t="shared" si="13"/>
        <v>-1.0000000003174137E-5</v>
      </c>
      <c r="AP94" s="55">
        <f t="shared" si="13"/>
        <v>-9.9999999996214228E-6</v>
      </c>
      <c r="AQ94" s="55">
        <f t="shared" si="13"/>
        <v>0</v>
      </c>
      <c r="AR94" s="55">
        <f t="shared" si="13"/>
        <v>0</v>
      </c>
      <c r="AS94" s="55">
        <f t="shared" si="13"/>
        <v>-9.9999999996214228E-6</v>
      </c>
      <c r="AT94" s="55">
        <f t="shared" si="13"/>
        <v>-9.9999999996214228E-6</v>
      </c>
      <c r="AU94" s="55">
        <f t="shared" si="13"/>
        <v>0</v>
      </c>
      <c r="AV94" s="55">
        <f t="shared" si="13"/>
        <v>0</v>
      </c>
      <c r="AW94" s="55">
        <f t="shared" si="13"/>
        <v>0</v>
      </c>
      <c r="AX94" s="55">
        <f t="shared" si="13"/>
        <v>0</v>
      </c>
      <c r="AY94" s="55">
        <f t="shared" si="13"/>
        <v>9.9999999996214228E-6</v>
      </c>
      <c r="AZ94" s="55">
        <f t="shared" si="13"/>
        <v>0</v>
      </c>
      <c r="BA94" s="55">
        <f t="shared" si="13"/>
        <v>0</v>
      </c>
      <c r="BB94" s="55">
        <f t="shared" si="13"/>
        <v>0</v>
      </c>
      <c r="BC94" s="55">
        <f t="shared" si="13"/>
        <v>0</v>
      </c>
      <c r="BD94" s="55">
        <f t="shared" si="13"/>
        <v>0</v>
      </c>
      <c r="BE94" s="55">
        <f t="shared" si="13"/>
        <v>1.000000000139778E-5</v>
      </c>
      <c r="BF94" s="55">
        <f t="shared" si="13"/>
        <v>0</v>
      </c>
      <c r="BG94" s="55">
        <f t="shared" si="13"/>
        <v>0</v>
      </c>
      <c r="BH94" s="55">
        <f t="shared" si="13"/>
        <v>0</v>
      </c>
      <c r="BI94" s="55">
        <f t="shared" si="13"/>
        <v>-1.000000000139778E-5</v>
      </c>
    </row>
    <row r="95" spans="1:63" ht="15" thickTop="1" x14ac:dyDescent="0.3">
      <c r="A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</row>
    <row r="96" spans="1:63" x14ac:dyDescent="0.3">
      <c r="A96" s="47" t="s">
        <v>199</v>
      </c>
      <c r="B96" s="48" t="s">
        <v>429</v>
      </c>
      <c r="C96" s="47" t="s">
        <v>414</v>
      </c>
      <c r="D96" s="47" t="s">
        <v>223</v>
      </c>
      <c r="E96" s="47"/>
      <c r="F96" s="47" t="str">
        <f t="shared" ref="F96:F101" si="14">"Conso pour " &amp; LOWER(D96)</f>
        <v>Conso pour mobilité domestique</v>
      </c>
      <c r="G96" s="47" t="s">
        <v>153</v>
      </c>
      <c r="H96" s="47" t="s">
        <v>222</v>
      </c>
      <c r="I96" s="49" t="s">
        <v>498</v>
      </c>
      <c r="J96" s="50">
        <v>0.39622000000000002</v>
      </c>
      <c r="K96" s="50">
        <v>0.32995999999999998</v>
      </c>
      <c r="L96" s="50">
        <v>0.46995999999999999</v>
      </c>
      <c r="M96" s="50">
        <v>0.65810000000000002</v>
      </c>
      <c r="N96" s="50">
        <v>0.86944999999999995</v>
      </c>
      <c r="O96" s="50">
        <v>1.0345800000000001</v>
      </c>
      <c r="P96" s="50">
        <v>1.1652800000000001</v>
      </c>
      <c r="Q96" s="50">
        <v>1.33622</v>
      </c>
      <c r="R96" s="50">
        <v>1.50692</v>
      </c>
      <c r="S96" s="50">
        <v>1.6773800000000001</v>
      </c>
      <c r="T96" s="50">
        <v>1.84755</v>
      </c>
      <c r="U96" s="50">
        <v>2.01742</v>
      </c>
      <c r="V96" s="50">
        <v>2.18696</v>
      </c>
      <c r="W96" s="50">
        <v>2.35615</v>
      </c>
      <c r="X96" s="50">
        <v>2.5249600000000001</v>
      </c>
      <c r="Y96" s="50">
        <v>2.6933699999999998</v>
      </c>
      <c r="Z96" s="50">
        <v>2.8613499999999998</v>
      </c>
      <c r="AA96" s="50">
        <v>3.0713499999999998</v>
      </c>
      <c r="AB96" s="50">
        <v>3.2913899999999998</v>
      </c>
      <c r="AC96" s="50">
        <v>3.51661</v>
      </c>
      <c r="AD96" s="50">
        <v>3.74701</v>
      </c>
      <c r="AE96" s="50">
        <v>3.9826000000000001</v>
      </c>
      <c r="AF96" s="50">
        <v>4.2234299999999996</v>
      </c>
      <c r="AG96" s="50">
        <v>4.4695200000000002</v>
      </c>
      <c r="AH96" s="50">
        <v>4.7208899999999998</v>
      </c>
      <c r="AI96" s="50">
        <v>4.9775900000000002</v>
      </c>
      <c r="AJ96" s="50">
        <v>5.2397</v>
      </c>
      <c r="AK96" s="50">
        <v>5.5072299999999998</v>
      </c>
      <c r="AL96" s="50">
        <v>5.7801499999999999</v>
      </c>
      <c r="AM96" s="50">
        <v>6.0585000000000004</v>
      </c>
      <c r="AN96" s="50">
        <v>6.3423100000000003</v>
      </c>
      <c r="AO96" s="50">
        <v>6.6315299999999997</v>
      </c>
      <c r="AP96" s="50">
        <v>6.5796799999999998</v>
      </c>
      <c r="AQ96" s="50">
        <v>6.5273599999999998</v>
      </c>
      <c r="AR96" s="50">
        <v>6.4745600000000003</v>
      </c>
      <c r="AS96" s="50">
        <v>6.4212699999999998</v>
      </c>
      <c r="AT96" s="50">
        <v>6.3675499999999996</v>
      </c>
      <c r="AU96" s="50">
        <v>6.3134699999999997</v>
      </c>
      <c r="AV96" s="50">
        <v>6.2591200000000002</v>
      </c>
      <c r="AW96" s="50">
        <v>6.20458</v>
      </c>
      <c r="AX96" s="50">
        <v>6.1499300000000003</v>
      </c>
      <c r="AY96" s="50">
        <v>6.0952999999999999</v>
      </c>
      <c r="AZ96" s="50">
        <v>6.0407799999999998</v>
      </c>
      <c r="BA96" s="50">
        <v>5.9864100000000002</v>
      </c>
      <c r="BB96" s="50">
        <v>5.9322800000000004</v>
      </c>
      <c r="BC96" s="50">
        <v>5.8784400000000003</v>
      </c>
      <c r="BD96" s="50">
        <v>5.8249500000000003</v>
      </c>
      <c r="BE96" s="50">
        <v>5.7718299999999996</v>
      </c>
      <c r="BF96" s="50">
        <v>5.7191000000000001</v>
      </c>
      <c r="BG96" s="50">
        <v>5.6667500000000004</v>
      </c>
      <c r="BH96" s="50">
        <v>5.61477</v>
      </c>
      <c r="BI96" s="50">
        <v>5.5626800000000003</v>
      </c>
      <c r="BJ96" t="s">
        <v>522</v>
      </c>
      <c r="BK96" t="b">
        <v>1</v>
      </c>
    </row>
    <row r="97" spans="1:63" x14ac:dyDescent="0.3">
      <c r="A97" s="47" t="s">
        <v>199</v>
      </c>
      <c r="B97" s="48" t="s">
        <v>429</v>
      </c>
      <c r="C97" s="47" t="s">
        <v>415</v>
      </c>
      <c r="D97" s="47" t="s">
        <v>221</v>
      </c>
      <c r="E97" s="47"/>
      <c r="F97" s="47" t="str">
        <f t="shared" si="14"/>
        <v>Conso pour fret domestique</v>
      </c>
      <c r="G97" s="47" t="s">
        <v>153</v>
      </c>
      <c r="H97" s="47" t="s">
        <v>220</v>
      </c>
      <c r="I97" s="49" t="s">
        <v>498</v>
      </c>
      <c r="J97" s="50">
        <v>1.0282100000000001</v>
      </c>
      <c r="K97" s="50">
        <v>1.35284</v>
      </c>
      <c r="L97" s="50">
        <v>1.87954</v>
      </c>
      <c r="M97" s="50">
        <v>2.1325799999999999</v>
      </c>
      <c r="N97" s="50">
        <v>2.34531</v>
      </c>
      <c r="O97" s="50">
        <v>2.4533999999999998</v>
      </c>
      <c r="P97" s="50">
        <v>3.0671300000000001</v>
      </c>
      <c r="Q97" s="50">
        <v>3.3136299999999999</v>
      </c>
      <c r="R97" s="50">
        <v>3.6683500000000002</v>
      </c>
      <c r="S97" s="50">
        <v>4.1507399999999999</v>
      </c>
      <c r="T97" s="50">
        <v>4.7871199999999998</v>
      </c>
      <c r="U97" s="50">
        <v>5.5572600000000003</v>
      </c>
      <c r="V97" s="50">
        <v>6.5674599999999996</v>
      </c>
      <c r="W97" s="50">
        <v>7.7757100000000001</v>
      </c>
      <c r="X97" s="50">
        <v>9.0244599999999995</v>
      </c>
      <c r="Y97" s="50">
        <v>10.36445</v>
      </c>
      <c r="Z97" s="50">
        <v>11.819229999999999</v>
      </c>
      <c r="AA97" s="50">
        <v>13.48354</v>
      </c>
      <c r="AB97" s="50">
        <v>15.193849999999999</v>
      </c>
      <c r="AC97" s="50">
        <v>16.960329999999999</v>
      </c>
      <c r="AD97" s="50">
        <v>18.813400000000001</v>
      </c>
      <c r="AE97" s="50">
        <v>20.752960000000002</v>
      </c>
      <c r="AF97" s="50">
        <v>22.835290000000001</v>
      </c>
      <c r="AG97" s="50">
        <v>24.970459999999999</v>
      </c>
      <c r="AH97" s="50">
        <v>27.04326</v>
      </c>
      <c r="AI97" s="50">
        <v>28.875920000000001</v>
      </c>
      <c r="AJ97" s="50">
        <v>30.28125</v>
      </c>
      <c r="AK97" s="50">
        <v>31.151309999999999</v>
      </c>
      <c r="AL97" s="50">
        <v>31.49249</v>
      </c>
      <c r="AM97" s="50">
        <v>31.412330000000001</v>
      </c>
      <c r="AN97" s="50">
        <v>31.05217</v>
      </c>
      <c r="AO97" s="50">
        <v>30.53875</v>
      </c>
      <c r="AP97" s="50">
        <v>29.822379999999999</v>
      </c>
      <c r="AQ97" s="50">
        <v>29.118069999999999</v>
      </c>
      <c r="AR97" s="50">
        <v>28.425660000000001</v>
      </c>
      <c r="AS97" s="50">
        <v>27.745000000000001</v>
      </c>
      <c r="AT97" s="50">
        <v>27.075939999999999</v>
      </c>
      <c r="AU97" s="50">
        <v>26.167590000000001</v>
      </c>
      <c r="AV97" s="50">
        <v>25.282730000000001</v>
      </c>
      <c r="AW97" s="50">
        <v>24.420809999999999</v>
      </c>
      <c r="AX97" s="50">
        <v>23.58128</v>
      </c>
      <c r="AY97" s="50">
        <v>22.76362</v>
      </c>
      <c r="AZ97" s="50">
        <v>22.13345</v>
      </c>
      <c r="BA97" s="50">
        <v>21.514849999999999</v>
      </c>
      <c r="BB97" s="50">
        <v>20.907599999999999</v>
      </c>
      <c r="BC97" s="50">
        <v>20.311450000000001</v>
      </c>
      <c r="BD97" s="50">
        <v>19.726209999999998</v>
      </c>
      <c r="BE97" s="50">
        <v>19.27364</v>
      </c>
      <c r="BF97" s="50">
        <v>18.828970000000002</v>
      </c>
      <c r="BG97" s="50">
        <v>18.392050000000001</v>
      </c>
      <c r="BH97" s="50">
        <v>17.96274</v>
      </c>
      <c r="BI97" s="50">
        <v>17.540880000000001</v>
      </c>
      <c r="BJ97" t="s">
        <v>523</v>
      </c>
      <c r="BK97" t="b">
        <v>1</v>
      </c>
    </row>
    <row r="98" spans="1:63" x14ac:dyDescent="0.3">
      <c r="A98" s="47" t="s">
        <v>199</v>
      </c>
      <c r="B98" s="48" t="s">
        <v>429</v>
      </c>
      <c r="C98" s="47" t="s">
        <v>416</v>
      </c>
      <c r="D98" s="47" t="s">
        <v>219</v>
      </c>
      <c r="E98" s="47"/>
      <c r="F98" s="47" t="str">
        <f t="shared" si="14"/>
        <v>Conso pour maritime international</v>
      </c>
      <c r="G98" s="47" t="s">
        <v>153</v>
      </c>
      <c r="H98" s="47" t="s">
        <v>218</v>
      </c>
      <c r="I98" s="49" t="s">
        <v>498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  <c r="Q98" s="50">
        <v>0</v>
      </c>
      <c r="R98" s="50">
        <v>0</v>
      </c>
      <c r="S98" s="50">
        <v>0</v>
      </c>
      <c r="T98" s="50">
        <v>7.5219999999999995E-2</v>
      </c>
      <c r="U98" s="50">
        <v>0.14623</v>
      </c>
      <c r="V98" s="50">
        <v>0.31259999999999999</v>
      </c>
      <c r="W98" s="50">
        <v>0.46922999999999998</v>
      </c>
      <c r="X98" s="50">
        <v>0.61631000000000002</v>
      </c>
      <c r="Y98" s="50">
        <v>0.75405999999999995</v>
      </c>
      <c r="Z98" s="50">
        <v>0.88266999999999995</v>
      </c>
      <c r="AA98" s="50">
        <v>1.05125</v>
      </c>
      <c r="AB98" s="50">
        <v>1.2080599999999999</v>
      </c>
      <c r="AC98" s="50">
        <v>1.35337</v>
      </c>
      <c r="AD98" s="50">
        <v>1.48746</v>
      </c>
      <c r="AE98" s="50">
        <v>1.61059</v>
      </c>
      <c r="AF98" s="50">
        <v>1.7645599999999999</v>
      </c>
      <c r="AG98" s="50">
        <v>1.9053</v>
      </c>
      <c r="AH98" s="50">
        <v>2.03315</v>
      </c>
      <c r="AI98" s="50">
        <v>2.14846</v>
      </c>
      <c r="AJ98" s="50">
        <v>2.25156</v>
      </c>
      <c r="AK98" s="50">
        <v>2.3427799999999999</v>
      </c>
      <c r="AL98" s="50">
        <v>2.4224800000000002</v>
      </c>
      <c r="AM98" s="50">
        <v>2.49099</v>
      </c>
      <c r="AN98" s="50">
        <v>2.5486399999999998</v>
      </c>
      <c r="AO98" s="50">
        <v>2.59578</v>
      </c>
      <c r="AP98" s="50">
        <v>2.6348099999999999</v>
      </c>
      <c r="AQ98" s="50">
        <v>2.6678999999999999</v>
      </c>
      <c r="AR98" s="50">
        <v>2.6950599999999998</v>
      </c>
      <c r="AS98" s="50">
        <v>2.7162799999999998</v>
      </c>
      <c r="AT98" s="50">
        <v>2.7315700000000001</v>
      </c>
      <c r="AU98" s="50">
        <v>2.74092</v>
      </c>
      <c r="AV98" s="50">
        <v>2.7443300000000002</v>
      </c>
      <c r="AW98" s="50">
        <v>2.8348100000000001</v>
      </c>
      <c r="AX98" s="50">
        <v>2.9252799999999999</v>
      </c>
      <c r="AY98" s="50">
        <v>3.0157500000000002</v>
      </c>
      <c r="AZ98" s="50">
        <v>3.1363799999999999</v>
      </c>
      <c r="BA98" s="50">
        <v>3.2570100000000002</v>
      </c>
      <c r="BB98" s="50">
        <v>3.37764</v>
      </c>
      <c r="BC98" s="50">
        <v>3.4982700000000002</v>
      </c>
      <c r="BD98" s="50">
        <v>3.6189</v>
      </c>
      <c r="BE98" s="50">
        <v>3.7395299999999998</v>
      </c>
      <c r="BF98" s="50">
        <v>3.86016</v>
      </c>
      <c r="BG98" s="50">
        <v>3.9807899999999998</v>
      </c>
      <c r="BH98" s="50">
        <v>4.1014200000000001</v>
      </c>
      <c r="BI98" s="50">
        <v>4.2220500000000003</v>
      </c>
      <c r="BJ98" t="s">
        <v>524</v>
      </c>
      <c r="BK98" t="b">
        <v>1</v>
      </c>
    </row>
    <row r="99" spans="1:63" x14ac:dyDescent="0.3">
      <c r="A99" s="47" t="s">
        <v>199</v>
      </c>
      <c r="B99" s="48" t="s">
        <v>429</v>
      </c>
      <c r="C99" s="47" t="s">
        <v>417</v>
      </c>
      <c r="D99" s="47" t="s">
        <v>217</v>
      </c>
      <c r="E99" s="47"/>
      <c r="F99" s="47" t="str">
        <f t="shared" si="14"/>
        <v>Conso pour industrie</v>
      </c>
      <c r="G99" s="47" t="s">
        <v>153</v>
      </c>
      <c r="H99" s="47" t="s">
        <v>216</v>
      </c>
      <c r="I99" s="49" t="s">
        <v>499</v>
      </c>
      <c r="J99" s="50">
        <v>121.06672</v>
      </c>
      <c r="K99" s="50">
        <v>109.59278</v>
      </c>
      <c r="L99" s="50">
        <v>114.74634</v>
      </c>
      <c r="M99" s="50">
        <v>111.80485</v>
      </c>
      <c r="N99" s="50">
        <v>108.49605</v>
      </c>
      <c r="O99" s="50">
        <v>109.26139000000001</v>
      </c>
      <c r="P99" s="50">
        <v>110.22505</v>
      </c>
      <c r="Q99" s="50">
        <v>109.25309</v>
      </c>
      <c r="R99" s="50">
        <v>105.41797</v>
      </c>
      <c r="S99" s="50">
        <v>100.38195</v>
      </c>
      <c r="T99" s="50">
        <v>95.300849999999997</v>
      </c>
      <c r="U99" s="50">
        <v>90.697249999999997</v>
      </c>
      <c r="V99" s="50">
        <v>87.208320000000001</v>
      </c>
      <c r="W99" s="50">
        <v>83.826629999999994</v>
      </c>
      <c r="X99" s="50">
        <v>80.611530000000002</v>
      </c>
      <c r="Y99" s="50">
        <v>77.565370000000001</v>
      </c>
      <c r="Z99" s="50">
        <v>73.011520000000004</v>
      </c>
      <c r="AA99" s="50">
        <v>69.209320000000005</v>
      </c>
      <c r="AB99" s="50">
        <v>66.303340000000006</v>
      </c>
      <c r="AC99" s="50">
        <v>63.811340000000001</v>
      </c>
      <c r="AD99" s="50">
        <v>61.31147</v>
      </c>
      <c r="AE99" s="50">
        <v>55.491059999999997</v>
      </c>
      <c r="AF99" s="50">
        <v>53.555340000000001</v>
      </c>
      <c r="AG99" s="50">
        <v>51.437629999999999</v>
      </c>
      <c r="AH99" s="50">
        <v>49.633949999999999</v>
      </c>
      <c r="AI99" s="50">
        <v>47.817300000000003</v>
      </c>
      <c r="AJ99" s="50">
        <v>46.326630000000002</v>
      </c>
      <c r="AK99" s="50">
        <v>45.08231</v>
      </c>
      <c r="AL99" s="50">
        <v>44.09402</v>
      </c>
      <c r="AM99" s="50">
        <v>43.33155</v>
      </c>
      <c r="AN99" s="50">
        <v>42.70702</v>
      </c>
      <c r="AO99" s="50">
        <v>42.323689999999999</v>
      </c>
      <c r="AP99" s="50">
        <v>42.3444</v>
      </c>
      <c r="AQ99" s="50">
        <v>42.297159999999998</v>
      </c>
      <c r="AR99" s="50">
        <v>42.13702</v>
      </c>
      <c r="AS99" s="50">
        <v>42.130049999999997</v>
      </c>
      <c r="AT99" s="50">
        <v>42.138080000000002</v>
      </c>
      <c r="AU99" s="50">
        <v>42.060420000000001</v>
      </c>
      <c r="AV99" s="50">
        <v>42.043280000000003</v>
      </c>
      <c r="AW99" s="50">
        <v>42.118549999999999</v>
      </c>
      <c r="AX99" s="50">
        <v>42.272570000000002</v>
      </c>
      <c r="AY99" s="50">
        <v>42.382829999999998</v>
      </c>
      <c r="AZ99" s="50">
        <v>42.64349</v>
      </c>
      <c r="BA99" s="50">
        <v>42.732869999999998</v>
      </c>
      <c r="BB99" s="50">
        <v>42.904899999999998</v>
      </c>
      <c r="BC99" s="50">
        <v>42.864510000000003</v>
      </c>
      <c r="BD99" s="50">
        <v>43.135829999999999</v>
      </c>
      <c r="BE99" s="50">
        <v>43.212780000000002</v>
      </c>
      <c r="BF99" s="50">
        <v>43.41948</v>
      </c>
      <c r="BG99" s="50">
        <v>43.426960000000001</v>
      </c>
      <c r="BH99" s="50">
        <v>43.622210000000003</v>
      </c>
      <c r="BI99" s="50">
        <v>43.696089999999998</v>
      </c>
      <c r="BJ99" t="s">
        <v>525</v>
      </c>
      <c r="BK99" t="b">
        <v>1</v>
      </c>
    </row>
    <row r="100" spans="1:63" x14ac:dyDescent="0.3">
      <c r="A100" s="47" t="s">
        <v>199</v>
      </c>
      <c r="B100" s="48" t="s">
        <v>429</v>
      </c>
      <c r="C100" s="47" t="s">
        <v>418</v>
      </c>
      <c r="D100" s="47" t="s">
        <v>215</v>
      </c>
      <c r="E100" s="47"/>
      <c r="F100" s="47" t="str">
        <f t="shared" si="14"/>
        <v>Conso pour agriculture</v>
      </c>
      <c r="G100" s="47" t="s">
        <v>153</v>
      </c>
      <c r="H100" s="47" t="s">
        <v>214</v>
      </c>
      <c r="I100" s="49" t="s">
        <v>618</v>
      </c>
      <c r="J100" s="50">
        <v>2.7640699999999998</v>
      </c>
      <c r="K100" s="50">
        <v>2.7229299999999999</v>
      </c>
      <c r="L100" s="50">
        <v>2.9464800000000002</v>
      </c>
      <c r="M100" s="50">
        <v>2.6405799999999999</v>
      </c>
      <c r="N100" s="50">
        <v>2.7583199999999999</v>
      </c>
      <c r="O100" s="50">
        <v>2.6602999999999999</v>
      </c>
      <c r="P100" s="50">
        <v>2.59029</v>
      </c>
      <c r="Q100" s="50">
        <v>2.8206000000000002</v>
      </c>
      <c r="R100" s="50">
        <v>3.0867300000000002</v>
      </c>
      <c r="S100" s="50">
        <v>3.3857499999999998</v>
      </c>
      <c r="T100" s="50">
        <v>3.7143799999999998</v>
      </c>
      <c r="U100" s="50">
        <v>4.0690299999999997</v>
      </c>
      <c r="V100" s="50">
        <v>4.4458200000000003</v>
      </c>
      <c r="W100" s="50">
        <v>4.8406099999999999</v>
      </c>
      <c r="X100" s="50">
        <v>5.2490699999999997</v>
      </c>
      <c r="Y100" s="50">
        <v>5.6667399999999999</v>
      </c>
      <c r="Z100" s="50">
        <v>6.0890300000000002</v>
      </c>
      <c r="AA100" s="50">
        <v>6.5113300000000001</v>
      </c>
      <c r="AB100" s="50">
        <v>6.9290000000000003</v>
      </c>
      <c r="AC100" s="50">
        <v>7.3374600000000001</v>
      </c>
      <c r="AD100" s="50">
        <v>7.7322499999999996</v>
      </c>
      <c r="AE100" s="50">
        <v>8.1090400000000002</v>
      </c>
      <c r="AF100" s="50">
        <v>8.4636899999999997</v>
      </c>
      <c r="AG100" s="50">
        <v>8.7923200000000001</v>
      </c>
      <c r="AH100" s="50">
        <v>9.0913400000000006</v>
      </c>
      <c r="AI100" s="50">
        <v>9.3574699999999993</v>
      </c>
      <c r="AJ100" s="50">
        <v>9.5877800000000004</v>
      </c>
      <c r="AK100" s="50">
        <v>9.7797599999999996</v>
      </c>
      <c r="AL100" s="50">
        <v>9.9313099999999999</v>
      </c>
      <c r="AM100" s="50">
        <v>10.040749999999999</v>
      </c>
      <c r="AN100" s="50">
        <v>10.106909999999999</v>
      </c>
      <c r="AO100" s="50">
        <v>10.12904</v>
      </c>
      <c r="AP100" s="50">
        <v>10.13456</v>
      </c>
      <c r="AQ100" s="50">
        <v>10.151009999999999</v>
      </c>
      <c r="AR100" s="50">
        <v>10.177960000000001</v>
      </c>
      <c r="AS100" s="50">
        <v>10.21477</v>
      </c>
      <c r="AT100" s="50">
        <v>10.26051</v>
      </c>
      <c r="AU100" s="50">
        <v>10.314080000000001</v>
      </c>
      <c r="AV100" s="50">
        <v>10.374129999999999</v>
      </c>
      <c r="AW100" s="50">
        <v>10.439209999999999</v>
      </c>
      <c r="AX100" s="50">
        <v>10.5077</v>
      </c>
      <c r="AY100" s="50">
        <v>10.57793</v>
      </c>
      <c r="AZ100" s="50">
        <v>10.648149999999999</v>
      </c>
      <c r="BA100" s="50">
        <v>10.71664</v>
      </c>
      <c r="BB100" s="50">
        <v>10.78172</v>
      </c>
      <c r="BC100" s="50">
        <v>10.84178</v>
      </c>
      <c r="BD100" s="50">
        <v>10.895339999999999</v>
      </c>
      <c r="BE100" s="50">
        <v>10.941079999999999</v>
      </c>
      <c r="BF100" s="50">
        <v>10.97789</v>
      </c>
      <c r="BG100" s="50">
        <v>11.00484</v>
      </c>
      <c r="BH100" s="50">
        <v>11.02129</v>
      </c>
      <c r="BI100" s="50">
        <v>11.026820000000001</v>
      </c>
      <c r="BJ100" t="e">
        <v>#N/A</v>
      </c>
      <c r="BK100" t="b">
        <v>1</v>
      </c>
    </row>
    <row r="101" spans="1:63" x14ac:dyDescent="0.3">
      <c r="A101" s="47" t="s">
        <v>199</v>
      </c>
      <c r="B101" s="48" t="s">
        <v>429</v>
      </c>
      <c r="C101" s="47" t="s">
        <v>419</v>
      </c>
      <c r="D101" s="47" t="s">
        <v>213</v>
      </c>
      <c r="E101" s="47"/>
      <c r="F101" s="47" t="str">
        <f t="shared" si="14"/>
        <v>Conso pour non-énergétique</v>
      </c>
      <c r="G101" s="47" t="s">
        <v>153</v>
      </c>
      <c r="H101" s="47" t="s">
        <v>212</v>
      </c>
      <c r="I101" s="49" t="s">
        <v>499</v>
      </c>
      <c r="J101" s="50">
        <v>12.97889</v>
      </c>
      <c r="K101" s="50">
        <v>11.76221</v>
      </c>
      <c r="L101" s="50">
        <v>10.083360000000001</v>
      </c>
      <c r="M101" s="50">
        <v>11.107290000000001</v>
      </c>
      <c r="N101" s="50">
        <v>10.143420000000001</v>
      </c>
      <c r="O101" s="50">
        <v>10.0596</v>
      </c>
      <c r="P101" s="50">
        <v>10.64405</v>
      </c>
      <c r="Q101" s="50">
        <v>10.98236</v>
      </c>
      <c r="R101" s="50">
        <v>11.30462</v>
      </c>
      <c r="S101" s="50">
        <v>11.60815</v>
      </c>
      <c r="T101" s="50">
        <v>11.89343</v>
      </c>
      <c r="U101" s="50">
        <v>11.507020000000001</v>
      </c>
      <c r="V101" s="50">
        <v>11.46979</v>
      </c>
      <c r="W101" s="50">
        <v>11.410439999999999</v>
      </c>
      <c r="X101" s="50">
        <v>11.327199999999999</v>
      </c>
      <c r="Y101" s="50">
        <v>11.230919999999999</v>
      </c>
      <c r="Z101" s="50">
        <v>10.136979999999999</v>
      </c>
      <c r="AA101" s="50">
        <v>7.7309200000000002</v>
      </c>
      <c r="AB101" s="50">
        <v>6.6558400000000004</v>
      </c>
      <c r="AC101" s="50">
        <v>6.2406100000000002</v>
      </c>
      <c r="AD101" s="50">
        <v>5.5143300000000002</v>
      </c>
      <c r="AE101" s="50">
        <v>4.79556</v>
      </c>
      <c r="AF101" s="50">
        <v>4.7890600000000001</v>
      </c>
      <c r="AG101" s="50">
        <v>4.8624700000000001</v>
      </c>
      <c r="AH101" s="50">
        <v>5.0026599999999997</v>
      </c>
      <c r="AI101" s="50">
        <v>5.1888699999999996</v>
      </c>
      <c r="AJ101" s="50">
        <v>5.3977500000000003</v>
      </c>
      <c r="AK101" s="50">
        <v>5.6308800000000003</v>
      </c>
      <c r="AL101" s="50">
        <v>5.85459</v>
      </c>
      <c r="AM101" s="50">
        <v>6.0646800000000001</v>
      </c>
      <c r="AN101" s="50">
        <v>6.2382499999999999</v>
      </c>
      <c r="AO101" s="50">
        <v>6.36191</v>
      </c>
      <c r="AP101" s="50">
        <v>6.5216799999999999</v>
      </c>
      <c r="AQ101" s="50">
        <v>6.6785399999999999</v>
      </c>
      <c r="AR101" s="50">
        <v>6.8305800000000003</v>
      </c>
      <c r="AS101" s="50">
        <v>6.9877500000000001</v>
      </c>
      <c r="AT101" s="50">
        <v>7.1393700000000004</v>
      </c>
      <c r="AU101" s="50">
        <v>7.28627</v>
      </c>
      <c r="AV101" s="50">
        <v>7.4283799999999998</v>
      </c>
      <c r="AW101" s="50">
        <v>7.5729699999999998</v>
      </c>
      <c r="AX101" s="50">
        <v>7.7148700000000003</v>
      </c>
      <c r="AY101" s="50">
        <v>7.8542899999999998</v>
      </c>
      <c r="AZ101" s="50">
        <v>7.9953399999999997</v>
      </c>
      <c r="BA101" s="50">
        <v>8.1235900000000001</v>
      </c>
      <c r="BB101" s="50">
        <v>8.2561800000000005</v>
      </c>
      <c r="BC101" s="50">
        <v>8.3685399999999994</v>
      </c>
      <c r="BD101" s="50">
        <v>8.5081699999999998</v>
      </c>
      <c r="BE101" s="50">
        <v>8.6277399999999993</v>
      </c>
      <c r="BF101" s="50">
        <v>8.7510399999999997</v>
      </c>
      <c r="BG101" s="50">
        <v>8.8564399999999992</v>
      </c>
      <c r="BH101" s="50">
        <v>8.9850100000000008</v>
      </c>
      <c r="BI101" s="50">
        <v>9.0905199999999997</v>
      </c>
      <c r="BJ101" t="s">
        <v>526</v>
      </c>
      <c r="BK101" t="b">
        <v>1</v>
      </c>
    </row>
    <row r="102" spans="1:63" x14ac:dyDescent="0.3">
      <c r="A102" s="47" t="s">
        <v>199</v>
      </c>
      <c r="B102" s="48" t="s">
        <v>429</v>
      </c>
      <c r="C102" s="47" t="s">
        <v>420</v>
      </c>
      <c r="D102" s="47" t="s">
        <v>211</v>
      </c>
      <c r="E102" s="47"/>
      <c r="F102" s="47" t="str">
        <f>"Conso pour " &amp; LOWER(D102) &amp; " (pertes réseau incluses)"</f>
        <v>Conso pour raffineries (pertes réseau incluses)</v>
      </c>
      <c r="G102" s="47" t="s">
        <v>153</v>
      </c>
      <c r="H102" s="47" t="s">
        <v>210</v>
      </c>
      <c r="I102" s="49" t="s">
        <v>500</v>
      </c>
      <c r="J102" s="50">
        <v>8.1594999999999995</v>
      </c>
      <c r="K102" s="50">
        <v>8.4911999999999992</v>
      </c>
      <c r="L102" s="50">
        <v>8.8977000000000004</v>
      </c>
      <c r="M102" s="50">
        <v>5.6825000000000001</v>
      </c>
      <c r="N102" s="50">
        <v>5.1249000000000002</v>
      </c>
      <c r="O102" s="50">
        <v>5.1532999999999998</v>
      </c>
      <c r="P102" s="50">
        <v>6.3167999999999997</v>
      </c>
      <c r="Q102" s="50">
        <v>6.9447999999999999</v>
      </c>
      <c r="R102" s="50">
        <v>7.5377999999999998</v>
      </c>
      <c r="S102" s="50">
        <v>7.9151999999999996</v>
      </c>
      <c r="T102" s="50">
        <v>8.2056000000000004</v>
      </c>
      <c r="U102" s="50">
        <v>8.3855000000000004</v>
      </c>
      <c r="V102" s="50">
        <v>8.4300999999999995</v>
      </c>
      <c r="W102" s="50">
        <v>8.3821999999999992</v>
      </c>
      <c r="X102" s="50">
        <v>8.3218999999999994</v>
      </c>
      <c r="Y102" s="50">
        <v>8.1791</v>
      </c>
      <c r="Z102" s="50">
        <v>7.9772999999999996</v>
      </c>
      <c r="AA102" s="50">
        <v>7.7511999999999999</v>
      </c>
      <c r="AB102" s="50">
        <v>7.4912999999999998</v>
      </c>
      <c r="AC102" s="50">
        <v>7.1810999999999998</v>
      </c>
      <c r="AD102" s="50">
        <v>6.8205999999999998</v>
      </c>
      <c r="AE102" s="50">
        <v>6.4169999999999998</v>
      </c>
      <c r="AF102" s="50">
        <v>5.9880000000000004</v>
      </c>
      <c r="AG102" s="50">
        <v>5.5307000000000004</v>
      </c>
      <c r="AH102" s="50">
        <v>5.0655999999999999</v>
      </c>
      <c r="AI102" s="50">
        <v>4.6146000000000003</v>
      </c>
      <c r="AJ102" s="50">
        <v>4.2039</v>
      </c>
      <c r="AK102" s="50">
        <v>3.8397000000000001</v>
      </c>
      <c r="AL102" s="50">
        <v>3.5405000000000002</v>
      </c>
      <c r="AM102" s="50">
        <v>3.3052999999999999</v>
      </c>
      <c r="AN102" s="50">
        <v>3.1265999999999998</v>
      </c>
      <c r="AO102" s="50">
        <v>3.0137999999999998</v>
      </c>
      <c r="AP102" s="50">
        <v>3.0118999999999998</v>
      </c>
      <c r="AQ102" s="50">
        <v>3.0087000000000002</v>
      </c>
      <c r="AR102" s="50">
        <v>3.0042</v>
      </c>
      <c r="AS102" s="50">
        <v>3.0331000000000001</v>
      </c>
      <c r="AT102" s="50">
        <v>3.0259999999999998</v>
      </c>
      <c r="AU102" s="50">
        <v>3.0129999999999999</v>
      </c>
      <c r="AV102" s="50">
        <v>3.0034999999999998</v>
      </c>
      <c r="AW102" s="50">
        <v>2.9929000000000001</v>
      </c>
      <c r="AX102" s="50">
        <v>2.9613999999999998</v>
      </c>
      <c r="AY102" s="50">
        <v>2.9594999999999998</v>
      </c>
      <c r="AZ102" s="50">
        <v>2.9647999999999999</v>
      </c>
      <c r="BA102" s="50">
        <v>2.9645000000000001</v>
      </c>
      <c r="BB102" s="50">
        <v>2.9641000000000002</v>
      </c>
      <c r="BC102" s="50">
        <v>2.9984000000000002</v>
      </c>
      <c r="BD102" s="50">
        <v>2.9975999999999998</v>
      </c>
      <c r="BE102" s="50">
        <v>2.9965000000000002</v>
      </c>
      <c r="BF102" s="50">
        <v>2.9952000000000001</v>
      </c>
      <c r="BG102" s="50">
        <v>2.9937999999999998</v>
      </c>
      <c r="BH102" s="50">
        <v>2.9719000000000002</v>
      </c>
      <c r="BI102" s="50">
        <v>2.9699</v>
      </c>
      <c r="BJ102" t="e">
        <v>#N/A</v>
      </c>
      <c r="BK102" t="b">
        <v>1</v>
      </c>
    </row>
    <row r="103" spans="1:63" x14ac:dyDescent="0.3">
      <c r="A103" s="47" t="s">
        <v>199</v>
      </c>
      <c r="B103" s="59" t="s">
        <v>484</v>
      </c>
      <c r="C103" s="47" t="s">
        <v>198</v>
      </c>
      <c r="D103" s="47" t="s">
        <v>209</v>
      </c>
      <c r="E103" s="47"/>
      <c r="F103" s="47" t="str">
        <f>"Conso pour " &amp; LOWER(D103) &amp; " (pertes réseau incluses)"</f>
        <v>Conso pour prod élec (pertes réseau incluses)</v>
      </c>
      <c r="G103" s="47" t="s">
        <v>153</v>
      </c>
      <c r="H103" s="47" t="s">
        <v>208</v>
      </c>
      <c r="I103" s="49" t="s">
        <v>500</v>
      </c>
      <c r="J103" s="50">
        <v>67.045000000000002</v>
      </c>
      <c r="K103" s="50">
        <v>59.0807</v>
      </c>
      <c r="L103" s="50">
        <v>55.2119</v>
      </c>
      <c r="M103" s="50">
        <v>70.4268</v>
      </c>
      <c r="N103" s="50">
        <v>49.946300000000001</v>
      </c>
      <c r="O103" s="50">
        <v>29.558499999999999</v>
      </c>
      <c r="P103" s="50">
        <v>29.558499999999999</v>
      </c>
      <c r="Q103" s="50">
        <v>29.558499999999999</v>
      </c>
      <c r="R103" s="50">
        <v>29.558499999999999</v>
      </c>
      <c r="S103" s="50">
        <v>29.1557</v>
      </c>
      <c r="T103" s="50">
        <v>28.770499999999998</v>
      </c>
      <c r="U103" s="50">
        <v>28.401299999999999</v>
      </c>
      <c r="V103" s="50">
        <v>26.9207</v>
      </c>
      <c r="W103" s="50">
        <v>25.454699999999999</v>
      </c>
      <c r="X103" s="50">
        <v>24.001899999999999</v>
      </c>
      <c r="Y103" s="50">
        <v>22.562000000000001</v>
      </c>
      <c r="Z103" s="50">
        <v>21.133900000000001</v>
      </c>
      <c r="AA103" s="50">
        <v>20.570499999999999</v>
      </c>
      <c r="AB103" s="50">
        <v>20.007200000000001</v>
      </c>
      <c r="AC103" s="50">
        <v>19.443899999999999</v>
      </c>
      <c r="AD103" s="50">
        <v>18.880600000000001</v>
      </c>
      <c r="AE103" s="50">
        <v>18.317299999999999</v>
      </c>
      <c r="AF103" s="50">
        <v>18.8292</v>
      </c>
      <c r="AG103" s="50">
        <v>19.341200000000001</v>
      </c>
      <c r="AH103" s="50">
        <v>19.853100000000001</v>
      </c>
      <c r="AI103" s="50">
        <v>20.365100000000002</v>
      </c>
      <c r="AJ103" s="50">
        <v>20.876999999999999</v>
      </c>
      <c r="AK103" s="50">
        <v>21.388999999999999</v>
      </c>
      <c r="AL103" s="50">
        <v>21.901</v>
      </c>
      <c r="AM103" s="50">
        <v>22.4129</v>
      </c>
      <c r="AN103" s="50">
        <v>22.924900000000001</v>
      </c>
      <c r="AO103" s="50">
        <v>23.436800000000002</v>
      </c>
      <c r="AP103" s="50">
        <v>23.436800000000002</v>
      </c>
      <c r="AQ103" s="50">
        <v>23.436800000000002</v>
      </c>
      <c r="AR103" s="50">
        <v>23.436800000000002</v>
      </c>
      <c r="AS103" s="50">
        <v>23.436800000000002</v>
      </c>
      <c r="AT103" s="50">
        <v>23.436800000000002</v>
      </c>
      <c r="AU103" s="50">
        <v>23.436800000000002</v>
      </c>
      <c r="AV103" s="50">
        <v>23.436800000000002</v>
      </c>
      <c r="AW103" s="50">
        <v>23.436800000000002</v>
      </c>
      <c r="AX103" s="50">
        <v>23.436800000000002</v>
      </c>
      <c r="AY103" s="50">
        <v>23.436800000000002</v>
      </c>
      <c r="AZ103" s="50">
        <v>23.436800000000002</v>
      </c>
      <c r="BA103" s="50">
        <v>23.436800000000002</v>
      </c>
      <c r="BB103" s="50">
        <v>23.436800000000002</v>
      </c>
      <c r="BC103" s="50">
        <v>23.436800000000002</v>
      </c>
      <c r="BD103" s="50">
        <v>23.436800000000002</v>
      </c>
      <c r="BE103" s="50">
        <v>23.436800000000002</v>
      </c>
      <c r="BF103" s="50">
        <v>23.436800000000002</v>
      </c>
      <c r="BG103" s="50">
        <v>23.436800000000002</v>
      </c>
      <c r="BH103" s="50">
        <v>23.436800000000002</v>
      </c>
      <c r="BI103" s="50">
        <v>23.436800000000002</v>
      </c>
      <c r="BJ103" t="e">
        <v>#N/A</v>
      </c>
      <c r="BK103" t="b">
        <v>1</v>
      </c>
    </row>
    <row r="104" spans="1:63" x14ac:dyDescent="0.3">
      <c r="A104" s="47" t="s">
        <v>199</v>
      </c>
      <c r="B104" s="48" t="s">
        <v>429</v>
      </c>
      <c r="C104" s="47" t="s">
        <v>421</v>
      </c>
      <c r="D104" s="47" t="s">
        <v>207</v>
      </c>
      <c r="E104" s="47"/>
      <c r="F104" s="47" t="str">
        <f>"Conso pour " &amp; LOWER(D104) &amp; " (pertes réseau incluses)"</f>
        <v>Conso pour prod chaleur (pertes réseau incluses)</v>
      </c>
      <c r="G104" s="47" t="s">
        <v>153</v>
      </c>
      <c r="H104" s="47" t="s">
        <v>206</v>
      </c>
      <c r="I104" s="49" t="s">
        <v>500</v>
      </c>
      <c r="J104" s="50">
        <v>21.133600000000001</v>
      </c>
      <c r="K104" s="50">
        <v>21.2239</v>
      </c>
      <c r="L104" s="50">
        <v>22.493300000000001</v>
      </c>
      <c r="M104" s="50">
        <v>20.8703</v>
      </c>
      <c r="N104" s="50">
        <v>20.223299999999998</v>
      </c>
      <c r="O104" s="50">
        <v>18.887699999999999</v>
      </c>
      <c r="P104" s="50">
        <v>18.585100000000001</v>
      </c>
      <c r="Q104" s="50">
        <v>18.585100000000001</v>
      </c>
      <c r="R104" s="50">
        <v>18.585100000000001</v>
      </c>
      <c r="S104" s="50">
        <v>18.585100000000001</v>
      </c>
      <c r="T104" s="50">
        <v>18.585100000000001</v>
      </c>
      <c r="U104" s="50">
        <v>18.585100000000001</v>
      </c>
      <c r="V104" s="50">
        <v>17.533999999999999</v>
      </c>
      <c r="W104" s="50">
        <v>16.483499999999999</v>
      </c>
      <c r="X104" s="50">
        <v>15.4335</v>
      </c>
      <c r="Y104" s="50">
        <v>14.383900000000001</v>
      </c>
      <c r="Z104" s="50">
        <v>13.3348</v>
      </c>
      <c r="AA104" s="50">
        <v>12.6434</v>
      </c>
      <c r="AB104" s="50">
        <v>11.952</v>
      </c>
      <c r="AC104" s="50">
        <v>11.2607</v>
      </c>
      <c r="AD104" s="50">
        <v>10.5693</v>
      </c>
      <c r="AE104" s="50">
        <v>9.8779000000000003</v>
      </c>
      <c r="AF104" s="50">
        <v>9.3937000000000008</v>
      </c>
      <c r="AG104" s="50">
        <v>8.9094999999999995</v>
      </c>
      <c r="AH104" s="50">
        <v>8.4253</v>
      </c>
      <c r="AI104" s="50">
        <v>7.9410999999999996</v>
      </c>
      <c r="AJ104" s="50">
        <v>7.4569000000000001</v>
      </c>
      <c r="AK104" s="50">
        <v>6.9726999999999997</v>
      </c>
      <c r="AL104" s="50">
        <v>6.4885000000000002</v>
      </c>
      <c r="AM104" s="50">
        <v>6.0042</v>
      </c>
      <c r="AN104" s="50">
        <v>5.52</v>
      </c>
      <c r="AO104" s="50">
        <v>5.0358000000000001</v>
      </c>
      <c r="AP104" s="50">
        <v>5.0358000000000001</v>
      </c>
      <c r="AQ104" s="50">
        <v>5.0358000000000001</v>
      </c>
      <c r="AR104" s="50">
        <v>5.0358000000000001</v>
      </c>
      <c r="AS104" s="50">
        <v>5.0358000000000001</v>
      </c>
      <c r="AT104" s="50">
        <v>5.0358000000000001</v>
      </c>
      <c r="AU104" s="50">
        <v>5.0358000000000001</v>
      </c>
      <c r="AV104" s="50">
        <v>5.0358000000000001</v>
      </c>
      <c r="AW104" s="50">
        <v>5.0358000000000001</v>
      </c>
      <c r="AX104" s="50">
        <v>5.0358000000000001</v>
      </c>
      <c r="AY104" s="50">
        <v>5.0358000000000001</v>
      </c>
      <c r="AZ104" s="50">
        <v>5.0358000000000001</v>
      </c>
      <c r="BA104" s="50">
        <v>5.0358000000000001</v>
      </c>
      <c r="BB104" s="50">
        <v>5.0358000000000001</v>
      </c>
      <c r="BC104" s="50">
        <v>5.0358000000000001</v>
      </c>
      <c r="BD104" s="50">
        <v>5.0358000000000001</v>
      </c>
      <c r="BE104" s="50">
        <v>5.0358000000000001</v>
      </c>
      <c r="BF104" s="50">
        <v>5.0358000000000001</v>
      </c>
      <c r="BG104" s="50">
        <v>5.0358000000000001</v>
      </c>
      <c r="BH104" s="50">
        <v>5.0358000000000001</v>
      </c>
      <c r="BI104" s="50">
        <v>5.0358000000000001</v>
      </c>
      <c r="BJ104" t="e">
        <v>#N/A</v>
      </c>
      <c r="BK104" t="b">
        <v>1</v>
      </c>
    </row>
    <row r="105" spans="1:63" x14ac:dyDescent="0.3">
      <c r="A105" s="47" t="s">
        <v>199</v>
      </c>
      <c r="B105" s="59" t="s">
        <v>484</v>
      </c>
      <c r="C105" s="47" t="s">
        <v>198</v>
      </c>
      <c r="D105" s="47" t="s">
        <v>205</v>
      </c>
      <c r="E105" s="47"/>
      <c r="F105" s="47" t="str">
        <f>D105</f>
        <v>Excédent</v>
      </c>
      <c r="G105" s="47" t="s">
        <v>153</v>
      </c>
      <c r="H105" s="47" t="s">
        <v>204</v>
      </c>
      <c r="I105" s="49" t="s">
        <v>500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50">
        <v>0</v>
      </c>
      <c r="P105" s="50">
        <v>0</v>
      </c>
      <c r="Q105" s="50">
        <v>0</v>
      </c>
      <c r="R105" s="50">
        <v>0</v>
      </c>
      <c r="S105" s="50">
        <v>0</v>
      </c>
      <c r="T105" s="50">
        <v>0</v>
      </c>
      <c r="U105" s="50">
        <v>0</v>
      </c>
      <c r="V105" s="50">
        <v>0</v>
      </c>
      <c r="W105" s="50">
        <v>0</v>
      </c>
      <c r="X105" s="50">
        <v>0</v>
      </c>
      <c r="Y105" s="50">
        <v>0</v>
      </c>
      <c r="Z105" s="50">
        <v>0</v>
      </c>
      <c r="AA105" s="50">
        <v>0</v>
      </c>
      <c r="AB105" s="50">
        <v>0</v>
      </c>
      <c r="AC105" s="50">
        <v>0</v>
      </c>
      <c r="AD105" s="50">
        <v>0</v>
      </c>
      <c r="AE105" s="50">
        <v>0</v>
      </c>
      <c r="AF105" s="50">
        <v>0</v>
      </c>
      <c r="AG105" s="50">
        <v>0</v>
      </c>
      <c r="AH105" s="50">
        <v>0</v>
      </c>
      <c r="AI105" s="50">
        <v>0</v>
      </c>
      <c r="AJ105" s="50">
        <v>0</v>
      </c>
      <c r="AK105" s="50">
        <v>0</v>
      </c>
      <c r="AL105" s="50">
        <v>0</v>
      </c>
      <c r="AM105" s="50">
        <v>0</v>
      </c>
      <c r="AN105" s="50">
        <v>6.9484000000000004</v>
      </c>
      <c r="AO105" s="50">
        <v>17.0306</v>
      </c>
      <c r="AP105" s="50">
        <v>19.892900000000001</v>
      </c>
      <c r="AQ105" s="50">
        <v>22.436800000000002</v>
      </c>
      <c r="AR105" s="50">
        <v>24.768699999999999</v>
      </c>
      <c r="AS105" s="50">
        <v>27.0364</v>
      </c>
      <c r="AT105" s="50">
        <v>28.556999999999999</v>
      </c>
      <c r="AU105" s="50">
        <v>30.1891</v>
      </c>
      <c r="AV105" s="50">
        <v>31.658100000000001</v>
      </c>
      <c r="AW105" s="50">
        <v>32.777999999999999</v>
      </c>
      <c r="AX105" s="50">
        <v>33.4711</v>
      </c>
      <c r="AY105" s="50">
        <v>34.423400000000001</v>
      </c>
      <c r="AZ105" s="50">
        <v>34.931600000000003</v>
      </c>
      <c r="BA105" s="50">
        <v>35.523899999999998</v>
      </c>
      <c r="BB105" s="50">
        <v>35.9938</v>
      </c>
      <c r="BC105" s="50">
        <v>37.047600000000003</v>
      </c>
      <c r="BD105" s="50">
        <v>37.355200000000004</v>
      </c>
      <c r="BE105" s="50">
        <v>37.736400000000003</v>
      </c>
      <c r="BF105" s="50">
        <v>37.9666</v>
      </c>
      <c r="BG105" s="50">
        <v>38.398899999999998</v>
      </c>
      <c r="BH105" s="50">
        <v>38.365099999999998</v>
      </c>
      <c r="BI105" s="50">
        <v>38.7072</v>
      </c>
      <c r="BJ105" t="e">
        <v>#N/A</v>
      </c>
      <c r="BK105" t="b">
        <v>1</v>
      </c>
    </row>
    <row r="106" spans="1:63" x14ac:dyDescent="0.3">
      <c r="A106" s="47" t="s">
        <v>199</v>
      </c>
      <c r="B106" s="48" t="s">
        <v>429</v>
      </c>
      <c r="C106" s="47" t="s">
        <v>422</v>
      </c>
      <c r="D106" s="47" t="s">
        <v>203</v>
      </c>
      <c r="E106" s="47"/>
      <c r="F106" s="47" t="s">
        <v>202</v>
      </c>
      <c r="G106" s="47" t="s">
        <v>99</v>
      </c>
      <c r="H106" s="47" t="s">
        <v>433</v>
      </c>
      <c r="I106" s="49" t="s">
        <v>500</v>
      </c>
      <c r="J106" s="50">
        <v>5.0404</v>
      </c>
      <c r="K106" s="50">
        <v>3.9965999999999999</v>
      </c>
      <c r="L106" s="50">
        <v>3.4811999999999999</v>
      </c>
      <c r="M106" s="50">
        <v>4.2882999999999996</v>
      </c>
      <c r="N106" s="50">
        <v>4.08</v>
      </c>
      <c r="O106" s="50">
        <v>2.9767000000000001</v>
      </c>
      <c r="P106" s="50">
        <v>2.984</v>
      </c>
      <c r="Q106" s="50">
        <v>2.9662000000000002</v>
      </c>
      <c r="R106" s="50">
        <v>2.9228999999999998</v>
      </c>
      <c r="S106" s="50">
        <v>2.8672</v>
      </c>
      <c r="T106" s="50">
        <v>2.8071999999999999</v>
      </c>
      <c r="U106" s="50">
        <v>2.7448999999999999</v>
      </c>
      <c r="V106" s="50">
        <v>2.6932</v>
      </c>
      <c r="W106" s="50">
        <v>2.6337000000000002</v>
      </c>
      <c r="X106" s="50">
        <v>2.5691000000000002</v>
      </c>
      <c r="Y106" s="50">
        <v>2.4977999999999998</v>
      </c>
      <c r="Z106" s="50">
        <v>2.3917999999999999</v>
      </c>
      <c r="AA106" s="50">
        <v>2.2755999999999998</v>
      </c>
      <c r="AB106" s="50">
        <v>2.1787000000000001</v>
      </c>
      <c r="AC106" s="50">
        <v>2.0861999999999998</v>
      </c>
      <c r="AD106" s="50">
        <v>1.9922</v>
      </c>
      <c r="AE106" s="50">
        <v>1.8673</v>
      </c>
      <c r="AF106" s="50">
        <v>1.7915000000000001</v>
      </c>
      <c r="AG106" s="50">
        <v>1.7224999999999999</v>
      </c>
      <c r="AH106" s="50">
        <v>1.6620999999999999</v>
      </c>
      <c r="AI106" s="50">
        <v>1.6093</v>
      </c>
      <c r="AJ106" s="50">
        <v>1.5599000000000001</v>
      </c>
      <c r="AK106" s="50">
        <v>1.5136000000000001</v>
      </c>
      <c r="AL106" s="50">
        <v>1.4741</v>
      </c>
      <c r="AM106" s="50">
        <v>1.4390000000000001</v>
      </c>
      <c r="AN106" s="50">
        <v>1.4060999999999999</v>
      </c>
      <c r="AO106" s="50">
        <v>1.3794</v>
      </c>
      <c r="AP106" s="50">
        <v>1.3546</v>
      </c>
      <c r="AQ106" s="50">
        <v>1.3326</v>
      </c>
      <c r="AR106" s="50">
        <v>1.3124</v>
      </c>
      <c r="AS106" s="50">
        <v>1.2962</v>
      </c>
      <c r="AT106" s="50">
        <v>1.2831999999999999</v>
      </c>
      <c r="AU106" s="50">
        <v>1.2682</v>
      </c>
      <c r="AV106" s="50">
        <v>1.2547999999999999</v>
      </c>
      <c r="AW106" s="50">
        <v>1.2444999999999999</v>
      </c>
      <c r="AX106" s="50">
        <v>1.2357</v>
      </c>
      <c r="AY106" s="50">
        <v>1.2272000000000001</v>
      </c>
      <c r="AZ106" s="50">
        <v>1.2229000000000001</v>
      </c>
      <c r="BA106" s="50">
        <v>1.2171000000000001</v>
      </c>
      <c r="BB106" s="50">
        <v>1.2124999999999999</v>
      </c>
      <c r="BC106" s="50">
        <v>1.2058</v>
      </c>
      <c r="BD106" s="50">
        <v>1.2028000000000001</v>
      </c>
      <c r="BE106" s="50">
        <v>1.1990000000000001</v>
      </c>
      <c r="BF106" s="50">
        <v>1.1966000000000001</v>
      </c>
      <c r="BG106" s="50">
        <v>1.1921999999999999</v>
      </c>
      <c r="BH106" s="50">
        <v>1.1900999999999999</v>
      </c>
      <c r="BI106" s="50">
        <v>1.1865000000000001</v>
      </c>
      <c r="BJ106" t="e">
        <v>#N/A</v>
      </c>
      <c r="BK106" t="b">
        <v>1</v>
      </c>
    </row>
    <row r="107" spans="1:63" ht="15" thickBot="1" x14ac:dyDescent="0.35">
      <c r="A107" s="47" t="s">
        <v>199</v>
      </c>
      <c r="B107" s="59" t="s">
        <v>484</v>
      </c>
      <c r="C107" s="47" t="s">
        <v>198</v>
      </c>
      <c r="D107" s="47"/>
      <c r="E107" s="47"/>
      <c r="F107" s="52" t="s">
        <v>201</v>
      </c>
      <c r="G107" s="47" t="s">
        <v>153</v>
      </c>
      <c r="H107" s="47" t="s">
        <v>200</v>
      </c>
      <c r="I107" s="49" t="s">
        <v>500</v>
      </c>
      <c r="J107" s="50">
        <v>446.65089999999998</v>
      </c>
      <c r="K107" s="50">
        <v>423.50189999999998</v>
      </c>
      <c r="L107" s="50">
        <v>424.47930000000002</v>
      </c>
      <c r="M107" s="50">
        <v>422.40949999999998</v>
      </c>
      <c r="N107" s="50">
        <v>386.76920000000001</v>
      </c>
      <c r="O107" s="50">
        <v>363.2432</v>
      </c>
      <c r="P107" s="50">
        <v>364.23770000000002</v>
      </c>
      <c r="Q107" s="50">
        <v>362.70229999999998</v>
      </c>
      <c r="R107" s="50">
        <v>358.17079999999999</v>
      </c>
      <c r="S107" s="50">
        <v>351.76130000000001</v>
      </c>
      <c r="T107" s="50">
        <v>345.16520000000003</v>
      </c>
      <c r="U107" s="50">
        <v>337.9545</v>
      </c>
      <c r="V107" s="50">
        <v>329.56009999999998</v>
      </c>
      <c r="W107" s="50">
        <v>320.57549999999998</v>
      </c>
      <c r="X107" s="50">
        <v>310.81909999999999</v>
      </c>
      <c r="Y107" s="50">
        <v>300.32130000000001</v>
      </c>
      <c r="Z107" s="50">
        <v>286.50959999999998</v>
      </c>
      <c r="AA107" s="50">
        <v>272.63690000000003</v>
      </c>
      <c r="AB107" s="50">
        <v>260.75</v>
      </c>
      <c r="AC107" s="50">
        <v>249.51300000000001</v>
      </c>
      <c r="AD107" s="50">
        <v>237.89670000000001</v>
      </c>
      <c r="AE107" s="50">
        <v>223.1318</v>
      </c>
      <c r="AF107" s="50">
        <v>214.84960000000001</v>
      </c>
      <c r="AG107" s="50">
        <v>207.0652</v>
      </c>
      <c r="AH107" s="50">
        <v>200.34119999999999</v>
      </c>
      <c r="AI107" s="50">
        <v>194.23410000000001</v>
      </c>
      <c r="AJ107" s="50">
        <v>188.54239999999999</v>
      </c>
      <c r="AK107" s="50">
        <v>183.37100000000001</v>
      </c>
      <c r="AL107" s="50">
        <v>178.8201</v>
      </c>
      <c r="AM107" s="50">
        <v>174.77770000000001</v>
      </c>
      <c r="AN107" s="50">
        <v>178.108</v>
      </c>
      <c r="AO107" s="50">
        <v>185.12260000000001</v>
      </c>
      <c r="AP107" s="50">
        <v>185.50919999999999</v>
      </c>
      <c r="AQ107" s="50">
        <v>185.85740000000001</v>
      </c>
      <c r="AR107" s="50">
        <v>186.1677</v>
      </c>
      <c r="AS107" s="50">
        <v>186.84710000000001</v>
      </c>
      <c r="AT107" s="50">
        <v>187.06979999999999</v>
      </c>
      <c r="AU107" s="50">
        <v>187.1919</v>
      </c>
      <c r="AV107" s="50">
        <v>187.3212</v>
      </c>
      <c r="AW107" s="50">
        <v>187.40280000000001</v>
      </c>
      <c r="AX107" s="50">
        <v>187.1969</v>
      </c>
      <c r="AY107" s="50">
        <v>187.3032</v>
      </c>
      <c r="AZ107" s="50">
        <v>187.38329999999999</v>
      </c>
      <c r="BA107" s="50">
        <v>187.39619999999999</v>
      </c>
      <c r="BB107" s="50">
        <v>187.40729999999999</v>
      </c>
      <c r="BC107" s="50">
        <v>187.82849999999999</v>
      </c>
      <c r="BD107" s="50">
        <v>187.83160000000001</v>
      </c>
      <c r="BE107" s="50">
        <v>187.82919999999999</v>
      </c>
      <c r="BF107" s="50">
        <v>187.82159999999999</v>
      </c>
      <c r="BG107" s="50">
        <v>187.81010000000001</v>
      </c>
      <c r="BH107" s="50">
        <v>187.55240000000001</v>
      </c>
      <c r="BI107" s="50">
        <v>187.5292</v>
      </c>
      <c r="BJ107" t="e">
        <v>#N/A</v>
      </c>
    </row>
    <row r="108" spans="1:63" ht="15.6" thickTop="1" thickBot="1" x14ac:dyDescent="0.35">
      <c r="A108" s="47" t="s">
        <v>199</v>
      </c>
      <c r="B108" s="51" t="s">
        <v>456</v>
      </c>
      <c r="C108" s="47" t="s">
        <v>198</v>
      </c>
      <c r="D108" s="47"/>
      <c r="E108" s="52"/>
      <c r="F108" s="52" t="s">
        <v>197</v>
      </c>
      <c r="G108" s="47" t="s">
        <v>99</v>
      </c>
      <c r="H108" s="47"/>
      <c r="I108" s="47"/>
      <c r="J108" s="55">
        <f>J107-SUMIF($BK$84:$BK$106,TRUE,J$84:J$106)</f>
        <v>2.0000000006348273E-5</v>
      </c>
      <c r="K108" s="55">
        <f t="shared" ref="K108:BI108" si="15">K107-SUMIF($BK$84:$BK$106,TRUE,K$84:K$106)</f>
        <v>6.9999999993797246E-5</v>
      </c>
      <c r="L108" s="55">
        <f t="shared" si="15"/>
        <v>0</v>
      </c>
      <c r="M108" s="55">
        <f t="shared" si="15"/>
        <v>-2.99999999811007E-5</v>
      </c>
      <c r="N108" s="55">
        <f t="shared" si="15"/>
        <v>-1.0000000031595846E-5</v>
      </c>
      <c r="O108" s="55">
        <f t="shared" si="15"/>
        <v>2.0000000006348273E-5</v>
      </c>
      <c r="P108" s="55">
        <f t="shared" si="15"/>
        <v>4.0000000069539965E-5</v>
      </c>
      <c r="Q108" s="55">
        <f t="shared" si="15"/>
        <v>-4.0000000012696546E-5</v>
      </c>
      <c r="R108" s="55">
        <f t="shared" si="15"/>
        <v>5.99999999622014E-5</v>
      </c>
      <c r="S108" s="55">
        <f t="shared" si="15"/>
        <v>3.9999999899009708E-5</v>
      </c>
      <c r="T108" s="55">
        <f t="shared" si="15"/>
        <v>4.9999999930605554E-5</v>
      </c>
      <c r="U108" s="55">
        <f t="shared" si="15"/>
        <v>-4.9999999987448973E-5</v>
      </c>
      <c r="V108" s="55">
        <f t="shared" si="15"/>
        <v>-3.0000000037944119E-5</v>
      </c>
      <c r="W108" s="55">
        <f t="shared" si="15"/>
        <v>0</v>
      </c>
      <c r="X108" s="55">
        <f t="shared" si="15"/>
        <v>-2.9999999924257281E-5</v>
      </c>
      <c r="Y108" s="55">
        <f t="shared" si="15"/>
        <v>1.0000000003174137E-4</v>
      </c>
      <c r="Z108" s="55">
        <f t="shared" si="15"/>
        <v>-4.9999999930605554E-5</v>
      </c>
      <c r="AA108" s="55">
        <f t="shared" si="15"/>
        <v>1.5000000001919034E-4</v>
      </c>
      <c r="AB108" s="55">
        <f t="shared" si="15"/>
        <v>1.7000000002553861E-4</v>
      </c>
      <c r="AC108" s="55">
        <f t="shared" si="15"/>
        <v>-1.9999999949504854E-5</v>
      </c>
      <c r="AD108" s="55">
        <f t="shared" si="15"/>
        <v>6.9999999965375537E-5</v>
      </c>
      <c r="AE108" s="55">
        <f t="shared" si="15"/>
        <v>-3.9999999984274837E-5</v>
      </c>
      <c r="AF108" s="55">
        <f t="shared" si="15"/>
        <v>2.99999999811007E-5</v>
      </c>
      <c r="AG108" s="55">
        <f t="shared" si="15"/>
        <v>-7.9999999968549673E-5</v>
      </c>
      <c r="AH108" s="55">
        <f t="shared" si="15"/>
        <v>3.9999999984274837E-5</v>
      </c>
      <c r="AI108" s="55">
        <f t="shared" si="15"/>
        <v>-9.0000000028567229E-5</v>
      </c>
      <c r="AJ108" s="55">
        <f t="shared" si="15"/>
        <v>9.9999999974897946E-5</v>
      </c>
      <c r="AK108" s="55">
        <f t="shared" si="15"/>
        <v>2.0000000006348273E-5</v>
      </c>
      <c r="AL108" s="55">
        <f t="shared" si="15"/>
        <v>-6.0000000019044819E-5</v>
      </c>
      <c r="AM108" s="55">
        <f t="shared" si="15"/>
        <v>9.0000000000145519E-5</v>
      </c>
      <c r="AN108" s="55">
        <f t="shared" si="15"/>
        <v>-2.0000000006348273E-5</v>
      </c>
      <c r="AO108" s="55">
        <f t="shared" si="15"/>
        <v>5.0000000015870683E-5</v>
      </c>
      <c r="AP108" s="55">
        <f t="shared" si="15"/>
        <v>1.0000000000331966E-4</v>
      </c>
      <c r="AQ108" s="55">
        <f t="shared" si="15"/>
        <v>-6.0000000019044819E-5</v>
      </c>
      <c r="AR108" s="55">
        <f t="shared" si="15"/>
        <v>1.0000000000331966E-4</v>
      </c>
      <c r="AS108" s="55">
        <f t="shared" si="15"/>
        <v>8.0000000025393092E-5</v>
      </c>
      <c r="AT108" s="55">
        <f t="shared" si="15"/>
        <v>4.0000000012696546E-5</v>
      </c>
      <c r="AU108" s="55">
        <f t="shared" si="15"/>
        <v>6.9999999993797246E-5</v>
      </c>
      <c r="AV108" s="55">
        <f t="shared" si="15"/>
        <v>7.0000000022218956E-5</v>
      </c>
      <c r="AW108" s="55">
        <f t="shared" si="15"/>
        <v>5.0000000044292392E-5</v>
      </c>
      <c r="AX108" s="55">
        <f t="shared" si="15"/>
        <v>1.0000000000331966E-4</v>
      </c>
      <c r="AY108" s="55">
        <f t="shared" si="15"/>
        <v>1.2999999998442036E-4</v>
      </c>
      <c r="AZ108" s="55">
        <f t="shared" si="15"/>
        <v>0</v>
      </c>
      <c r="BA108" s="55">
        <f t="shared" si="15"/>
        <v>-3.9999999984274837E-5</v>
      </c>
      <c r="BB108" s="55">
        <f t="shared" si="15"/>
        <v>0</v>
      </c>
      <c r="BC108" s="55">
        <f t="shared" si="15"/>
        <v>1.9999999977926564E-5</v>
      </c>
      <c r="BD108" s="55">
        <f t="shared" si="15"/>
        <v>3.000000000952241E-5</v>
      </c>
      <c r="BE108" s="55">
        <f t="shared" si="15"/>
        <v>6.9999999965375537E-5</v>
      </c>
      <c r="BF108" s="55">
        <f t="shared" si="15"/>
        <v>5.999999999062311E-5</v>
      </c>
      <c r="BG108" s="55">
        <f t="shared" si="15"/>
        <v>-9.0000000000145519E-5</v>
      </c>
      <c r="BH108" s="55">
        <f t="shared" si="15"/>
        <v>1.2000000003808964E-4</v>
      </c>
      <c r="BI108" s="55">
        <f t="shared" si="15"/>
        <v>6.0000000019044819E-5</v>
      </c>
    </row>
    <row r="109" spans="1:63" ht="15" thickTop="1" x14ac:dyDescent="0.3">
      <c r="A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</row>
    <row r="110" spans="1:63" ht="27.6" x14ac:dyDescent="0.3">
      <c r="A110" s="47" t="s">
        <v>196</v>
      </c>
      <c r="B110" s="62" t="s">
        <v>430</v>
      </c>
      <c r="C110" s="47" t="s">
        <v>160</v>
      </c>
      <c r="D110" s="47" t="s">
        <v>159</v>
      </c>
      <c r="E110" s="47"/>
      <c r="F110" s="47" t="s">
        <v>158</v>
      </c>
      <c r="G110" s="47" t="s">
        <v>153</v>
      </c>
      <c r="H110" s="47" t="s">
        <v>157</v>
      </c>
      <c r="I110" s="49" t="s">
        <v>620</v>
      </c>
      <c r="J110" s="50">
        <v>0</v>
      </c>
      <c r="K110" s="50">
        <v>0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  <c r="Q110" s="50">
        <v>0</v>
      </c>
      <c r="R110" s="50">
        <v>0</v>
      </c>
      <c r="S110" s="50">
        <v>0</v>
      </c>
      <c r="T110" s="50">
        <v>0</v>
      </c>
      <c r="U110" s="50">
        <v>0</v>
      </c>
      <c r="V110" s="50">
        <v>0.36042999999999997</v>
      </c>
      <c r="W110" s="50">
        <v>0.71940999999999999</v>
      </c>
      <c r="X110" s="50">
        <v>1.0768800000000001</v>
      </c>
      <c r="Y110" s="50">
        <v>1.4927900000000001</v>
      </c>
      <c r="Z110" s="50">
        <v>1.8622700000000001</v>
      </c>
      <c r="AA110" s="50">
        <v>2.2375600000000002</v>
      </c>
      <c r="AB110" s="50">
        <v>2.6049899999999999</v>
      </c>
      <c r="AC110" s="50">
        <v>2.97079</v>
      </c>
      <c r="AD110" s="50">
        <v>3.33466</v>
      </c>
      <c r="AE110" s="50">
        <v>3.6964700000000001</v>
      </c>
      <c r="AF110" s="50">
        <v>4.0642899999999997</v>
      </c>
      <c r="AG110" s="50">
        <v>4.4306400000000004</v>
      </c>
      <c r="AH110" s="50">
        <v>4.7970899999999999</v>
      </c>
      <c r="AI110" s="50">
        <v>5.3785999999999996</v>
      </c>
      <c r="AJ110" s="50">
        <v>5.7696800000000001</v>
      </c>
      <c r="AK110" s="50">
        <v>6.1736300000000002</v>
      </c>
      <c r="AL110" s="50">
        <v>6.5848000000000004</v>
      </c>
      <c r="AM110" s="50">
        <v>7.0626499999999997</v>
      </c>
      <c r="AN110" s="50">
        <v>7.4844999999999997</v>
      </c>
      <c r="AO110" s="50">
        <v>7.9070499999999999</v>
      </c>
      <c r="AP110" s="50">
        <v>7.9241999999999999</v>
      </c>
      <c r="AQ110" s="50">
        <v>7.9394099999999996</v>
      </c>
      <c r="AR110" s="50">
        <v>7.9539600000000004</v>
      </c>
      <c r="AS110" s="50">
        <v>8.2786600000000004</v>
      </c>
      <c r="AT110" s="50">
        <v>8.2860300000000002</v>
      </c>
      <c r="AU110" s="50">
        <v>8.2473700000000001</v>
      </c>
      <c r="AV110" s="50">
        <v>8.2452799999999993</v>
      </c>
      <c r="AW110" s="50">
        <v>8.2379599999999993</v>
      </c>
      <c r="AX110" s="50">
        <v>8.0429300000000001</v>
      </c>
      <c r="AY110" s="50">
        <v>8.1163500000000006</v>
      </c>
      <c r="AZ110" s="50">
        <v>8.1853599999999993</v>
      </c>
      <c r="BA110" s="50">
        <v>8.2029599999999991</v>
      </c>
      <c r="BB110" s="50">
        <v>8.2189200000000007</v>
      </c>
      <c r="BC110" s="50">
        <v>8.5463400000000007</v>
      </c>
      <c r="BD110" s="50">
        <v>8.5551300000000001</v>
      </c>
      <c r="BE110" s="50">
        <v>8.5586900000000004</v>
      </c>
      <c r="BF110" s="50">
        <v>8.5579999999999998</v>
      </c>
      <c r="BG110" s="50">
        <v>8.5533999999999999</v>
      </c>
      <c r="BH110" s="50">
        <v>8.3607600000000009</v>
      </c>
      <c r="BI110" s="50">
        <v>8.3457100000000004</v>
      </c>
      <c r="BJ110" t="s">
        <v>527</v>
      </c>
    </row>
    <row r="111" spans="1:63" x14ac:dyDescent="0.3">
      <c r="A111" s="47" t="s">
        <v>196</v>
      </c>
      <c r="B111" s="62" t="s">
        <v>430</v>
      </c>
      <c r="C111" s="47" t="s">
        <v>156</v>
      </c>
      <c r="D111" s="47" t="s">
        <v>155</v>
      </c>
      <c r="E111" s="47"/>
      <c r="F111" s="47" t="s">
        <v>154</v>
      </c>
      <c r="G111" s="47" t="s">
        <v>153</v>
      </c>
      <c r="H111" s="47" t="s">
        <v>152</v>
      </c>
      <c r="I111" s="49" t="s">
        <v>620</v>
      </c>
      <c r="J111" s="50">
        <v>1.1106199999999999</v>
      </c>
      <c r="K111" s="50">
        <v>1.98736</v>
      </c>
      <c r="L111" s="50">
        <v>3.9044500000000002</v>
      </c>
      <c r="M111" s="50">
        <v>6.2777200000000004</v>
      </c>
      <c r="N111" s="50">
        <v>8.2222600000000003</v>
      </c>
      <c r="O111" s="50">
        <v>10.1286</v>
      </c>
      <c r="P111" s="50">
        <v>13.43683</v>
      </c>
      <c r="Q111" s="50">
        <v>17.31664</v>
      </c>
      <c r="R111" s="50">
        <v>21.763110000000001</v>
      </c>
      <c r="S111" s="50">
        <v>26.759049999999998</v>
      </c>
      <c r="T111" s="50">
        <v>32.273420000000002</v>
      </c>
      <c r="U111" s="50">
        <v>39.594940000000001</v>
      </c>
      <c r="V111" s="50">
        <v>46.094819999999999</v>
      </c>
      <c r="W111" s="50">
        <v>52.941670000000002</v>
      </c>
      <c r="X111" s="50">
        <v>60.049100000000003</v>
      </c>
      <c r="Y111" s="50">
        <v>67.320509999999999</v>
      </c>
      <c r="Z111" s="50">
        <v>74.653760000000005</v>
      </c>
      <c r="AA111" s="50">
        <v>81.944069999999996</v>
      </c>
      <c r="AB111" s="50">
        <v>89.086209999999994</v>
      </c>
      <c r="AC111" s="50">
        <v>95.981309999999993</v>
      </c>
      <c r="AD111" s="50">
        <v>102.53651000000001</v>
      </c>
      <c r="AE111" s="50">
        <v>108.66813</v>
      </c>
      <c r="AF111" s="50">
        <v>114.42525000000001</v>
      </c>
      <c r="AG111" s="50">
        <v>119.86897</v>
      </c>
      <c r="AH111" s="50">
        <v>124.95191</v>
      </c>
      <c r="AI111" s="50">
        <v>129.63238000000001</v>
      </c>
      <c r="AJ111" s="50">
        <v>133.87642</v>
      </c>
      <c r="AK111" s="50">
        <v>138.23605000000001</v>
      </c>
      <c r="AL111" s="50">
        <v>144.25138999999999</v>
      </c>
      <c r="AM111" s="50">
        <v>150.02937</v>
      </c>
      <c r="AN111" s="50">
        <v>155.54170999999999</v>
      </c>
      <c r="AO111" s="50">
        <v>160.75888</v>
      </c>
      <c r="AP111" s="50">
        <v>161.09386000000001</v>
      </c>
      <c r="AQ111" s="50">
        <v>161.39588000000001</v>
      </c>
      <c r="AR111" s="50">
        <v>161.66372000000001</v>
      </c>
      <c r="AS111" s="50">
        <v>161.89608000000001</v>
      </c>
      <c r="AT111" s="50">
        <v>162.09208000000001</v>
      </c>
      <c r="AU111" s="50">
        <v>162.25119000000001</v>
      </c>
      <c r="AV111" s="50">
        <v>162.37262999999999</v>
      </c>
      <c r="AW111" s="50">
        <v>162.45661000000001</v>
      </c>
      <c r="AX111" s="50">
        <v>162.50304</v>
      </c>
      <c r="AY111" s="50">
        <v>162.51201</v>
      </c>
      <c r="AZ111" s="50">
        <v>162.50227000000001</v>
      </c>
      <c r="BA111" s="50">
        <v>162.49284</v>
      </c>
      <c r="BB111" s="50">
        <v>162.4838</v>
      </c>
      <c r="BC111" s="50">
        <v>162.4753</v>
      </c>
      <c r="BD111" s="50">
        <v>162.46753000000001</v>
      </c>
      <c r="BE111" s="50">
        <v>162.46096</v>
      </c>
      <c r="BF111" s="50">
        <v>162.45484999999999</v>
      </c>
      <c r="BG111" s="50">
        <v>162.44987</v>
      </c>
      <c r="BH111" s="50">
        <v>162.44569000000001</v>
      </c>
      <c r="BI111" s="50">
        <v>162.44255999999999</v>
      </c>
      <c r="BJ111" t="s">
        <v>528</v>
      </c>
    </row>
    <row r="112" spans="1:63" x14ac:dyDescent="0.3">
      <c r="A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</row>
    <row r="113" spans="1:62" x14ac:dyDescent="0.3">
      <c r="A113" s="47" t="s">
        <v>186</v>
      </c>
      <c r="B113" s="59" t="s">
        <v>484</v>
      </c>
      <c r="C113" s="47" t="s">
        <v>42</v>
      </c>
      <c r="D113" s="47" t="s">
        <v>195</v>
      </c>
      <c r="E113" s="47"/>
      <c r="F113" s="47" t="s">
        <v>194</v>
      </c>
      <c r="G113" s="47" t="s">
        <v>184</v>
      </c>
      <c r="H113" s="47" t="s">
        <v>193</v>
      </c>
      <c r="I113" s="49" t="s">
        <v>500</v>
      </c>
      <c r="J113" s="50">
        <v>29.45777</v>
      </c>
      <c r="K113" s="50">
        <v>27.05641</v>
      </c>
      <c r="L113" s="50">
        <v>28.739129999999999</v>
      </c>
      <c r="M113" s="50">
        <v>30.750309999999999</v>
      </c>
      <c r="N113" s="50">
        <v>23.68085</v>
      </c>
      <c r="O113" s="50">
        <v>19.06812</v>
      </c>
      <c r="P113" s="50">
        <v>18.666149999999998</v>
      </c>
      <c r="Q113" s="50">
        <v>18.49616</v>
      </c>
      <c r="R113" s="50">
        <v>18.309259999999998</v>
      </c>
      <c r="S113" s="50">
        <v>17.910450000000001</v>
      </c>
      <c r="T113" s="50">
        <v>16.80181</v>
      </c>
      <c r="U113" s="50">
        <v>15.377190000000001</v>
      </c>
      <c r="V113" s="50">
        <v>14.56087</v>
      </c>
      <c r="W113" s="50">
        <v>13.7262</v>
      </c>
      <c r="X113" s="50">
        <v>12.84872</v>
      </c>
      <c r="Y113" s="50">
        <v>11.97396</v>
      </c>
      <c r="Z113" s="50">
        <v>11.125349999999999</v>
      </c>
      <c r="AA113" s="50">
        <v>10.6236</v>
      </c>
      <c r="AB113" s="50">
        <v>10.14137</v>
      </c>
      <c r="AC113" s="50">
        <v>9.6638999999999999</v>
      </c>
      <c r="AD113" s="50">
        <v>9.1876200000000008</v>
      </c>
      <c r="AE113" s="50">
        <v>8.6788900000000009</v>
      </c>
      <c r="AF113" s="50">
        <v>8.3896999999999995</v>
      </c>
      <c r="AG113" s="50">
        <v>8.1098199999999991</v>
      </c>
      <c r="AH113" s="50">
        <v>7.9028499999999999</v>
      </c>
      <c r="AI113" s="50">
        <v>7.7448199999999998</v>
      </c>
      <c r="AJ113" s="50">
        <v>7.0566399999999998</v>
      </c>
      <c r="AK113" s="50">
        <v>6.7268699999999999</v>
      </c>
      <c r="AL113" s="50">
        <v>6.3373100000000004</v>
      </c>
      <c r="AM113" s="50">
        <v>5.9472800000000001</v>
      </c>
      <c r="AN113" s="50">
        <v>5.8468600000000004</v>
      </c>
      <c r="AO113" s="50">
        <v>5.8271499999999996</v>
      </c>
      <c r="AP113" s="50">
        <v>5.8012300000000003</v>
      </c>
      <c r="AQ113" s="50">
        <v>5.8024199999999997</v>
      </c>
      <c r="AR113" s="50">
        <v>5.80314</v>
      </c>
      <c r="AS113" s="50">
        <v>5.8042199999999999</v>
      </c>
      <c r="AT113" s="50">
        <v>5.8046899999999999</v>
      </c>
      <c r="AU113" s="50">
        <v>5.8052900000000003</v>
      </c>
      <c r="AV113" s="50">
        <v>5.80565</v>
      </c>
      <c r="AW113" s="50">
        <v>5.8061299999999996</v>
      </c>
      <c r="AX113" s="50">
        <v>5.80661</v>
      </c>
      <c r="AY113" s="50">
        <v>5.80661</v>
      </c>
      <c r="AZ113" s="50">
        <v>5.8071999999999999</v>
      </c>
      <c r="BA113" s="50">
        <v>5.8076800000000004</v>
      </c>
      <c r="BB113" s="50">
        <v>5.8075599999999996</v>
      </c>
      <c r="BC113" s="50">
        <v>5.8076800000000004</v>
      </c>
      <c r="BD113" s="50">
        <v>5.80708</v>
      </c>
      <c r="BE113" s="50">
        <v>5.8067200000000003</v>
      </c>
      <c r="BF113" s="50">
        <v>5.8064900000000002</v>
      </c>
      <c r="BG113" s="50">
        <v>5.8062500000000004</v>
      </c>
      <c r="BH113" s="50">
        <v>5.8061299999999996</v>
      </c>
      <c r="BI113" s="50">
        <v>5.8060099999999997</v>
      </c>
      <c r="BJ113" t="e">
        <v>#N/A</v>
      </c>
    </row>
    <row r="114" spans="1:62" x14ac:dyDescent="0.3">
      <c r="A114" s="47" t="s">
        <v>186</v>
      </c>
      <c r="B114" s="59" t="s">
        <v>484</v>
      </c>
      <c r="C114" s="47" t="s">
        <v>42</v>
      </c>
      <c r="D114" s="47" t="s">
        <v>192</v>
      </c>
      <c r="E114" s="47"/>
      <c r="F114" s="47" t="str">
        <f>"Emissions tous GES tous secteur, issues de la combustion de "&amp;D114</f>
        <v>Emissions tous GES tous secteur, issues de la combustion de Charbon</v>
      </c>
      <c r="G114" s="47" t="s">
        <v>184</v>
      </c>
      <c r="H114" s="47" t="s">
        <v>191</v>
      </c>
      <c r="I114" s="49" t="s">
        <v>500</v>
      </c>
      <c r="J114" s="50">
        <v>9.9062000000000001</v>
      </c>
      <c r="K114" s="50">
        <v>7.9888000000000003</v>
      </c>
      <c r="L114" s="50">
        <v>10.881399999999999</v>
      </c>
      <c r="M114" s="50">
        <v>9.5503999999999998</v>
      </c>
      <c r="N114" s="50">
        <v>7.3460000000000001</v>
      </c>
      <c r="O114" s="50">
        <v>6.5194000000000001</v>
      </c>
      <c r="P114" s="50">
        <v>6.4615</v>
      </c>
      <c r="Q114" s="50">
        <v>6.3807</v>
      </c>
      <c r="R114" s="50">
        <v>6.1071999999999997</v>
      </c>
      <c r="S114" s="50">
        <v>5.7462999999999997</v>
      </c>
      <c r="T114" s="50">
        <v>5.1212</v>
      </c>
      <c r="U114" s="50">
        <v>4.6262999999999996</v>
      </c>
      <c r="V114" s="50">
        <v>4.4318999999999997</v>
      </c>
      <c r="W114" s="50">
        <v>4.2278000000000002</v>
      </c>
      <c r="X114" s="50">
        <v>4.0247999999999999</v>
      </c>
      <c r="Y114" s="50">
        <v>3.8241000000000001</v>
      </c>
      <c r="Z114" s="50">
        <v>3.2143000000000002</v>
      </c>
      <c r="AA114" s="50">
        <v>3.0045999999999999</v>
      </c>
      <c r="AB114" s="50">
        <v>2.8024</v>
      </c>
      <c r="AC114" s="50">
        <v>2.5872000000000002</v>
      </c>
      <c r="AD114" s="50">
        <v>2.3690000000000002</v>
      </c>
      <c r="AE114" s="50">
        <v>1.3055000000000001</v>
      </c>
      <c r="AF114" s="50">
        <v>1.1571</v>
      </c>
      <c r="AG114" s="50">
        <v>0.9758</v>
      </c>
      <c r="AH114" s="50">
        <v>0.79459999999999997</v>
      </c>
      <c r="AI114" s="50">
        <v>0.61319999999999997</v>
      </c>
      <c r="AJ114" s="50">
        <v>0.44950000000000001</v>
      </c>
      <c r="AK114" s="50">
        <v>0.30409999999999998</v>
      </c>
      <c r="AL114" s="50">
        <v>0.187</v>
      </c>
      <c r="AM114" s="50">
        <v>9.8100000000000007E-2</v>
      </c>
      <c r="AN114" s="50">
        <v>4.1799999999999997E-2</v>
      </c>
      <c r="AO114" s="50">
        <v>1.9699999999999999E-2</v>
      </c>
      <c r="AP114" s="50">
        <v>1.6199999999999999E-2</v>
      </c>
      <c r="AQ114" s="50">
        <v>1.35E-2</v>
      </c>
      <c r="AR114" s="50">
        <v>1.12E-2</v>
      </c>
      <c r="AS114" s="50">
        <v>9.7999999999999997E-3</v>
      </c>
      <c r="AT114" s="50">
        <v>8.6999999999999994E-3</v>
      </c>
      <c r="AU114" s="50">
        <v>7.7000000000000002E-3</v>
      </c>
      <c r="AV114" s="50">
        <v>7.0000000000000001E-3</v>
      </c>
      <c r="AW114" s="50">
        <v>6.6E-3</v>
      </c>
      <c r="AX114" s="50">
        <v>6.3E-3</v>
      </c>
      <c r="AY114" s="50">
        <v>5.8999999999999999E-3</v>
      </c>
      <c r="AZ114" s="50">
        <v>6.0000000000000001E-3</v>
      </c>
      <c r="BA114" s="50">
        <v>5.5999999999999999E-3</v>
      </c>
      <c r="BB114" s="50">
        <v>5.5999999999999999E-3</v>
      </c>
      <c r="BC114" s="50">
        <v>5.1999999999999998E-3</v>
      </c>
      <c r="BD114" s="50">
        <v>5.1999999999999998E-3</v>
      </c>
      <c r="BE114" s="50">
        <v>5.0000000000000001E-3</v>
      </c>
      <c r="BF114" s="50">
        <v>4.8999999999999998E-3</v>
      </c>
      <c r="BG114" s="50">
        <v>4.7000000000000002E-3</v>
      </c>
      <c r="BH114" s="50">
        <v>4.8999999999999998E-3</v>
      </c>
      <c r="BI114" s="50">
        <v>4.7000000000000002E-3</v>
      </c>
      <c r="BJ114" t="e">
        <v>#N/A</v>
      </c>
    </row>
    <row r="115" spans="1:62" x14ac:dyDescent="0.3">
      <c r="A115" s="47" t="s">
        <v>186</v>
      </c>
      <c r="B115" s="59" t="s">
        <v>484</v>
      </c>
      <c r="C115" s="47" t="s">
        <v>42</v>
      </c>
      <c r="D115" s="47" t="s">
        <v>190</v>
      </c>
      <c r="E115" s="47"/>
      <c r="F115" s="47" t="str">
        <f>"Emissions tous GES tous secteur, issues de la combustion de "&amp;D115</f>
        <v>Emissions tous GES tous secteur, issues de la combustion de Pétrole</v>
      </c>
      <c r="G115" s="47" t="s">
        <v>184</v>
      </c>
      <c r="H115" s="47" t="s">
        <v>189</v>
      </c>
      <c r="I115" s="49" t="s">
        <v>500</v>
      </c>
      <c r="J115" s="50">
        <v>201.53149999999999</v>
      </c>
      <c r="K115" s="50">
        <v>167.51910000000001</v>
      </c>
      <c r="L115" s="50">
        <v>176.4023</v>
      </c>
      <c r="M115" s="50">
        <v>189.70830000000001</v>
      </c>
      <c r="N115" s="50">
        <v>185.81209999999999</v>
      </c>
      <c r="O115" s="50">
        <v>185.5787</v>
      </c>
      <c r="P115" s="50">
        <v>183.9547</v>
      </c>
      <c r="Q115" s="50">
        <v>181.36799999999999</v>
      </c>
      <c r="R115" s="50">
        <v>178.2107</v>
      </c>
      <c r="S115" s="50">
        <v>170.66630000000001</v>
      </c>
      <c r="T115" s="50">
        <v>161.85210000000001</v>
      </c>
      <c r="U115" s="50">
        <v>151.78639999999999</v>
      </c>
      <c r="V115" s="50">
        <v>140.76439999999999</v>
      </c>
      <c r="W115" s="50">
        <v>129.4564</v>
      </c>
      <c r="X115" s="50">
        <v>118.97410000000001</v>
      </c>
      <c r="Y115" s="50">
        <v>108.2033</v>
      </c>
      <c r="Z115" s="50">
        <v>97.588700000000003</v>
      </c>
      <c r="AA115" s="50">
        <v>87.668700000000001</v>
      </c>
      <c r="AB115" s="50">
        <v>78.183800000000005</v>
      </c>
      <c r="AC115" s="50">
        <v>68.959299999999999</v>
      </c>
      <c r="AD115" s="50">
        <v>60.074300000000001</v>
      </c>
      <c r="AE115" s="50">
        <v>51.5458</v>
      </c>
      <c r="AF115" s="50">
        <v>43.593400000000003</v>
      </c>
      <c r="AG115" s="50">
        <v>36.042000000000002</v>
      </c>
      <c r="AH115" s="50">
        <v>29.094999999999999</v>
      </c>
      <c r="AI115" s="50">
        <v>22.7347</v>
      </c>
      <c r="AJ115" s="50">
        <v>16.782</v>
      </c>
      <c r="AK115" s="50">
        <v>11.963100000000001</v>
      </c>
      <c r="AL115" s="50">
        <v>7.9768999999999997</v>
      </c>
      <c r="AM115" s="50">
        <v>4.6877000000000004</v>
      </c>
      <c r="AN115" s="50">
        <v>2.0617000000000001</v>
      </c>
      <c r="AO115" s="50">
        <v>6.4399999999999999E-2</v>
      </c>
      <c r="AP115" s="50">
        <v>5.33E-2</v>
      </c>
      <c r="AQ115" s="50">
        <v>4.6899999999999997E-2</v>
      </c>
      <c r="AR115" s="50">
        <v>4.3200000000000002E-2</v>
      </c>
      <c r="AS115" s="50">
        <v>4.1000000000000002E-2</v>
      </c>
      <c r="AT115" s="50">
        <v>3.9899999999999998E-2</v>
      </c>
      <c r="AU115" s="50">
        <v>3.9199999999999999E-2</v>
      </c>
      <c r="AV115" s="50">
        <v>3.8800000000000001E-2</v>
      </c>
      <c r="AW115" s="50">
        <v>3.85E-2</v>
      </c>
      <c r="AX115" s="50">
        <v>3.85E-2</v>
      </c>
      <c r="AY115" s="50">
        <v>3.8300000000000001E-2</v>
      </c>
      <c r="AZ115" s="50">
        <v>3.8199999999999998E-2</v>
      </c>
      <c r="BA115" s="50">
        <v>3.7999999999999999E-2</v>
      </c>
      <c r="BB115" s="50">
        <v>3.7999999999999999E-2</v>
      </c>
      <c r="BC115" s="50">
        <v>3.7699999999999997E-2</v>
      </c>
      <c r="BD115" s="50">
        <v>3.7600000000000001E-2</v>
      </c>
      <c r="BE115" s="50">
        <v>3.7600000000000001E-2</v>
      </c>
      <c r="BF115" s="50">
        <v>3.7499999999999999E-2</v>
      </c>
      <c r="BG115" s="50">
        <v>3.7499999999999999E-2</v>
      </c>
      <c r="BH115" s="50">
        <v>3.7499999999999999E-2</v>
      </c>
      <c r="BI115" s="50">
        <v>3.7499999999999999E-2</v>
      </c>
      <c r="BJ115" t="e">
        <v>#N/A</v>
      </c>
    </row>
    <row r="116" spans="1:62" x14ac:dyDescent="0.3">
      <c r="A116" s="47" t="s">
        <v>186</v>
      </c>
      <c r="B116" s="59" t="s">
        <v>484</v>
      </c>
      <c r="C116" s="47" t="s">
        <v>42</v>
      </c>
      <c r="D116" s="47" t="s">
        <v>188</v>
      </c>
      <c r="E116" s="47"/>
      <c r="F116" s="47" t="str">
        <f>"Emissions tous GES tous secteur, issues de la combustion de "&amp;D116</f>
        <v>Emissions tous GES tous secteur, issues de la combustion de Gaz</v>
      </c>
      <c r="G116" s="47" t="s">
        <v>184</v>
      </c>
      <c r="H116" s="47" t="s">
        <v>187</v>
      </c>
      <c r="I116" s="49" t="s">
        <v>500</v>
      </c>
      <c r="J116" s="50">
        <v>90.271770000000004</v>
      </c>
      <c r="K116" s="50">
        <v>85.110020000000006</v>
      </c>
      <c r="L116" s="50">
        <v>85.000399999999999</v>
      </c>
      <c r="M116" s="50">
        <v>84.328739999999996</v>
      </c>
      <c r="N116" s="50">
        <v>76.813019999999995</v>
      </c>
      <c r="O116" s="50">
        <v>71.111549999999994</v>
      </c>
      <c r="P116" s="50">
        <v>70.550259999999994</v>
      </c>
      <c r="Q116" s="50">
        <v>69.401650000000004</v>
      </c>
      <c r="R116" s="50">
        <v>67.527349999999998</v>
      </c>
      <c r="S116" s="50">
        <v>65.165469999999999</v>
      </c>
      <c r="T116" s="50">
        <v>62.668939999999999</v>
      </c>
      <c r="U116" s="50">
        <v>59.819400000000002</v>
      </c>
      <c r="V116" s="50">
        <v>56.724200000000003</v>
      </c>
      <c r="W116" s="50">
        <v>53.431040000000003</v>
      </c>
      <c r="X116" s="50">
        <v>49.921930000000003</v>
      </c>
      <c r="Y116" s="50">
        <v>46.207009999999997</v>
      </c>
      <c r="Z116" s="50">
        <v>41.944679999999998</v>
      </c>
      <c r="AA116" s="50">
        <v>37.830109999999998</v>
      </c>
      <c r="AB116" s="50">
        <v>33.930500000000002</v>
      </c>
      <c r="AC116" s="50">
        <v>30.105460000000001</v>
      </c>
      <c r="AD116" s="50">
        <v>26.291149999999998</v>
      </c>
      <c r="AE116" s="50">
        <v>21.893270000000001</v>
      </c>
      <c r="AF116" s="50">
        <v>18.81101</v>
      </c>
      <c r="AG116" s="50">
        <v>15.88313</v>
      </c>
      <c r="AH116" s="50">
        <v>13.23621</v>
      </c>
      <c r="AI116" s="50">
        <v>10.741709999999999</v>
      </c>
      <c r="AJ116" s="50">
        <v>8.46448</v>
      </c>
      <c r="AK116" s="50">
        <v>6.2618499999999999</v>
      </c>
      <c r="AL116" s="50">
        <v>3.83406</v>
      </c>
      <c r="AM116" s="50">
        <v>1.53871</v>
      </c>
      <c r="AN116" s="50">
        <v>1.03335</v>
      </c>
      <c r="AO116" s="50">
        <v>1.0137</v>
      </c>
      <c r="AP116" s="50">
        <v>0.99550000000000005</v>
      </c>
      <c r="AQ116" s="50">
        <v>0.97936000000000001</v>
      </c>
      <c r="AR116" s="50">
        <v>0.96450000000000002</v>
      </c>
      <c r="AS116" s="50">
        <v>0.95257999999999998</v>
      </c>
      <c r="AT116" s="50">
        <v>0.94305000000000005</v>
      </c>
      <c r="AU116" s="50">
        <v>0.93200000000000005</v>
      </c>
      <c r="AV116" s="50">
        <v>0.92217000000000005</v>
      </c>
      <c r="AW116" s="50">
        <v>0.91456000000000004</v>
      </c>
      <c r="AX116" s="50">
        <v>0.90812999999999999</v>
      </c>
      <c r="AY116" s="50">
        <v>0.90186999999999995</v>
      </c>
      <c r="AZ116" s="50">
        <v>0.89868999999999999</v>
      </c>
      <c r="BA116" s="50">
        <v>0.89442999999999995</v>
      </c>
      <c r="BB116" s="50">
        <v>0.89105999999999996</v>
      </c>
      <c r="BC116" s="50">
        <v>0.88615999999999995</v>
      </c>
      <c r="BD116" s="50">
        <v>0.88392999999999999</v>
      </c>
      <c r="BE116" s="50">
        <v>0.88112000000000001</v>
      </c>
      <c r="BF116" s="50">
        <v>0.87938000000000005</v>
      </c>
      <c r="BG116" s="50">
        <v>0.87612999999999996</v>
      </c>
      <c r="BH116" s="50">
        <v>0.87463999999999997</v>
      </c>
      <c r="BI116" s="50">
        <v>0.87197000000000002</v>
      </c>
      <c r="BJ116" t="e">
        <v>#N/A</v>
      </c>
    </row>
    <row r="117" spans="1:62" x14ac:dyDescent="0.3">
      <c r="A117" s="47" t="s">
        <v>186</v>
      </c>
      <c r="B117" s="59" t="s">
        <v>484</v>
      </c>
      <c r="C117" s="47" t="s">
        <v>42</v>
      </c>
      <c r="D117" s="47" t="s">
        <v>185</v>
      </c>
      <c r="E117" s="47"/>
      <c r="F117" s="47" t="str">
        <f>"Emissions tous GES tous secteur, issues de la combustion de "&amp;D117</f>
        <v>Emissions tous GES tous secteur, issues de la combustion de Déchets</v>
      </c>
      <c r="G117" s="47" t="s">
        <v>184</v>
      </c>
      <c r="H117" s="47" t="s">
        <v>183</v>
      </c>
      <c r="I117" s="49" t="s">
        <v>500</v>
      </c>
      <c r="J117" s="50">
        <v>9.0998000000000001</v>
      </c>
      <c r="K117" s="50">
        <v>8.9231999999999996</v>
      </c>
      <c r="L117" s="50">
        <v>8.9375999999999998</v>
      </c>
      <c r="M117" s="50">
        <v>8.9377999999999993</v>
      </c>
      <c r="N117" s="50">
        <v>8.2316000000000003</v>
      </c>
      <c r="O117" s="50">
        <v>8.2882999999999996</v>
      </c>
      <c r="P117" s="50">
        <v>8.2725000000000009</v>
      </c>
      <c r="Q117" s="50">
        <v>8.1527999999999992</v>
      </c>
      <c r="R117" s="50">
        <v>8.1129999999999995</v>
      </c>
      <c r="S117" s="50">
        <v>7.9878</v>
      </c>
      <c r="T117" s="50">
        <v>7.9146999999999998</v>
      </c>
      <c r="U117" s="50">
        <v>7.827</v>
      </c>
      <c r="V117" s="50">
        <v>7.8151999999999999</v>
      </c>
      <c r="W117" s="50">
        <v>7.7854000000000001</v>
      </c>
      <c r="X117" s="50">
        <v>7.7140000000000004</v>
      </c>
      <c r="Y117" s="50">
        <v>7.641</v>
      </c>
      <c r="Z117" s="50">
        <v>7.5797999999999996</v>
      </c>
      <c r="AA117" s="50">
        <v>7.5205000000000002</v>
      </c>
      <c r="AB117" s="50">
        <v>7.4614000000000003</v>
      </c>
      <c r="AC117" s="50">
        <v>7.4005000000000001</v>
      </c>
      <c r="AD117" s="50">
        <v>7.3398000000000003</v>
      </c>
      <c r="AE117" s="50">
        <v>7.2293000000000003</v>
      </c>
      <c r="AF117" s="50">
        <v>7.1749000000000001</v>
      </c>
      <c r="AG117" s="50">
        <v>7.1177999999999999</v>
      </c>
      <c r="AH117" s="50">
        <v>7.0632000000000001</v>
      </c>
      <c r="AI117" s="50">
        <v>7.0075000000000003</v>
      </c>
      <c r="AJ117" s="50">
        <v>6.9535</v>
      </c>
      <c r="AK117" s="50">
        <v>6.9005000000000001</v>
      </c>
      <c r="AL117" s="50">
        <v>6.8490000000000002</v>
      </c>
      <c r="AM117" s="50">
        <v>6.8007999999999997</v>
      </c>
      <c r="AN117" s="50">
        <v>6.7525000000000004</v>
      </c>
      <c r="AO117" s="50">
        <v>6.7114000000000003</v>
      </c>
      <c r="AP117" s="50">
        <v>6.6772</v>
      </c>
      <c r="AQ117" s="50">
        <v>6.6638000000000002</v>
      </c>
      <c r="AR117" s="50">
        <v>6.6478000000000002</v>
      </c>
      <c r="AS117" s="50">
        <v>6.6349</v>
      </c>
      <c r="AT117" s="50">
        <v>6.6223999999999998</v>
      </c>
      <c r="AU117" s="50">
        <v>6.6090999999999998</v>
      </c>
      <c r="AV117" s="50">
        <v>6.5979999999999999</v>
      </c>
      <c r="AW117" s="50">
        <v>6.5904999999999996</v>
      </c>
      <c r="AX117" s="50">
        <v>6.5914999999999999</v>
      </c>
      <c r="AY117" s="50">
        <v>6.5907999999999998</v>
      </c>
      <c r="AZ117" s="50">
        <v>6.5946999999999996</v>
      </c>
      <c r="BA117" s="50">
        <v>6.5979999999999999</v>
      </c>
      <c r="BB117" s="50">
        <v>6.6</v>
      </c>
      <c r="BC117" s="50">
        <v>6.6028000000000002</v>
      </c>
      <c r="BD117" s="50">
        <v>6.6067</v>
      </c>
      <c r="BE117" s="50">
        <v>6.6115000000000004</v>
      </c>
      <c r="BF117" s="50">
        <v>6.6208999999999998</v>
      </c>
      <c r="BG117" s="50">
        <v>6.6269</v>
      </c>
      <c r="BH117" s="50">
        <v>6.6342999999999996</v>
      </c>
      <c r="BI117" s="50">
        <v>6.6418999999999997</v>
      </c>
      <c r="BJ117" t="e">
        <v>#N/A</v>
      </c>
    </row>
    <row r="119" spans="1:62" x14ac:dyDescent="0.3">
      <c r="A119" s="47" t="s">
        <v>488</v>
      </c>
      <c r="B119" s="62" t="s">
        <v>430</v>
      </c>
      <c r="C119" s="47" t="s">
        <v>431</v>
      </c>
      <c r="D119" s="47" t="s">
        <v>486</v>
      </c>
      <c r="E119" s="63"/>
      <c r="F119" s="47" t="s">
        <v>487</v>
      </c>
      <c r="G119" s="47" t="s">
        <v>99</v>
      </c>
      <c r="H119" s="47" t="s">
        <v>485</v>
      </c>
      <c r="I119" s="49" t="s">
        <v>500</v>
      </c>
      <c r="J119" s="50">
        <v>445.5403</v>
      </c>
      <c r="K119" s="50">
        <v>421.5145</v>
      </c>
      <c r="L119" s="50">
        <v>420.57479999999998</v>
      </c>
      <c r="M119" s="50">
        <v>416.1318</v>
      </c>
      <c r="N119" s="50">
        <v>378.54689999999999</v>
      </c>
      <c r="O119" s="50">
        <v>353.1146</v>
      </c>
      <c r="P119" s="50">
        <v>350.80079999999998</v>
      </c>
      <c r="Q119" s="50">
        <v>345.38569999999999</v>
      </c>
      <c r="R119" s="50">
        <v>336.4076</v>
      </c>
      <c r="S119" s="50">
        <v>325.00220000000002</v>
      </c>
      <c r="T119" s="50">
        <v>312.89179999999999</v>
      </c>
      <c r="U119" s="50">
        <v>298.3596</v>
      </c>
      <c r="V119" s="50">
        <v>282.899</v>
      </c>
      <c r="W119" s="50">
        <v>266.43180000000001</v>
      </c>
      <c r="X119" s="50">
        <v>248.8596</v>
      </c>
      <c r="Y119" s="50">
        <v>230.2441</v>
      </c>
      <c r="Z119" s="50">
        <v>208.22540000000001</v>
      </c>
      <c r="AA119" s="50">
        <v>186.1079</v>
      </c>
      <c r="AB119" s="50">
        <v>166.0625</v>
      </c>
      <c r="AC119" s="50">
        <v>146.8509</v>
      </c>
      <c r="AD119" s="50">
        <v>127.544</v>
      </c>
      <c r="AE119" s="50">
        <v>105.4644</v>
      </c>
      <c r="AF119" s="50">
        <v>90.188199999999995</v>
      </c>
      <c r="AG119" s="50">
        <v>75.679699999999997</v>
      </c>
      <c r="AH119" s="50">
        <v>62.553800000000003</v>
      </c>
      <c r="AI119" s="50">
        <v>50.153500000000001</v>
      </c>
      <c r="AJ119" s="50">
        <v>38.81</v>
      </c>
      <c r="AK119" s="50">
        <v>27.797899999999998</v>
      </c>
      <c r="AL119" s="50">
        <v>15.5686</v>
      </c>
      <c r="AM119" s="50">
        <v>3.9529000000000001</v>
      </c>
      <c r="AN119" s="50">
        <v>4.7999999999999996E-3</v>
      </c>
      <c r="AO119" s="50">
        <v>0</v>
      </c>
      <c r="AP119" s="50">
        <v>0</v>
      </c>
      <c r="AQ119" s="50">
        <v>0</v>
      </c>
      <c r="AR119" s="50">
        <v>0</v>
      </c>
      <c r="AS119" s="50">
        <v>0</v>
      </c>
      <c r="AT119" s="50">
        <v>0</v>
      </c>
      <c r="AU119" s="50">
        <v>0</v>
      </c>
      <c r="AV119" s="50">
        <v>0</v>
      </c>
      <c r="AW119" s="50">
        <v>0</v>
      </c>
      <c r="AX119" s="50">
        <v>0</v>
      </c>
      <c r="AY119" s="50">
        <v>0</v>
      </c>
      <c r="AZ119" s="50">
        <v>0</v>
      </c>
      <c r="BA119" s="50">
        <v>0</v>
      </c>
      <c r="BB119" s="50">
        <v>0</v>
      </c>
      <c r="BC119" s="50">
        <v>0</v>
      </c>
      <c r="BD119" s="50">
        <v>0</v>
      </c>
      <c r="BE119" s="50">
        <v>0</v>
      </c>
      <c r="BF119" s="50">
        <v>0</v>
      </c>
      <c r="BG119" s="50">
        <v>0</v>
      </c>
      <c r="BH119" s="50">
        <v>0</v>
      </c>
      <c r="BI119" s="50">
        <v>0</v>
      </c>
    </row>
    <row r="121" spans="1:62" x14ac:dyDescent="0.3">
      <c r="A121" s="47" t="s">
        <v>377</v>
      </c>
      <c r="B121" s="48" t="s">
        <v>429</v>
      </c>
      <c r="C121" s="47" t="s">
        <v>494</v>
      </c>
      <c r="D121" s="47" t="s">
        <v>188</v>
      </c>
      <c r="E121" s="63"/>
      <c r="F121" s="47" t="s">
        <v>491</v>
      </c>
      <c r="G121" s="47" t="s">
        <v>99</v>
      </c>
      <c r="H121" s="47" t="s">
        <v>457</v>
      </c>
      <c r="I121" s="49" t="s">
        <v>503</v>
      </c>
      <c r="J121" s="50">
        <v>26.844729999999998</v>
      </c>
      <c r="K121" s="50">
        <v>23.52712</v>
      </c>
      <c r="L121" s="50">
        <v>21.68516</v>
      </c>
      <c r="M121" s="50">
        <v>32.321829999999999</v>
      </c>
      <c r="N121" s="50">
        <v>18.900480000000002</v>
      </c>
      <c r="O121" s="50">
        <v>9.4717000000000002</v>
      </c>
      <c r="P121" s="50">
        <v>9.4717000000000002</v>
      </c>
      <c r="Q121" s="50">
        <v>9.4717000000000002</v>
      </c>
      <c r="R121" s="50">
        <v>9.4717000000000002</v>
      </c>
      <c r="S121" s="50">
        <v>9.4717000000000002</v>
      </c>
      <c r="T121" s="50">
        <v>9.4717000000000002</v>
      </c>
      <c r="U121" s="50">
        <v>9.4717000000000002</v>
      </c>
      <c r="V121" s="50">
        <v>9.4717000000000002</v>
      </c>
      <c r="W121" s="50">
        <v>9.4717000000000002</v>
      </c>
      <c r="X121" s="50">
        <v>9.4717000000000002</v>
      </c>
      <c r="Y121" s="50">
        <v>9.4717000000000002</v>
      </c>
      <c r="Z121" s="50">
        <v>9.4717000000000002</v>
      </c>
      <c r="AA121" s="50">
        <v>9.4717000000000002</v>
      </c>
      <c r="AB121" s="50">
        <v>9.4717000000000002</v>
      </c>
      <c r="AC121" s="50">
        <v>9.4717000000000002</v>
      </c>
      <c r="AD121" s="50">
        <v>9.4717000000000002</v>
      </c>
      <c r="AE121" s="50">
        <v>9.4717000000000002</v>
      </c>
      <c r="AF121" s="50">
        <v>9.7845300000000002</v>
      </c>
      <c r="AG121" s="50">
        <v>10.09736</v>
      </c>
      <c r="AH121" s="50">
        <v>10.41019</v>
      </c>
      <c r="AI121" s="50">
        <v>10.72302</v>
      </c>
      <c r="AJ121" s="50">
        <v>11.03585</v>
      </c>
      <c r="AK121" s="50">
        <v>11.34868</v>
      </c>
      <c r="AL121" s="50">
        <v>11.66151</v>
      </c>
      <c r="AM121" s="50">
        <v>11.97434</v>
      </c>
      <c r="AN121" s="50">
        <v>12.28717</v>
      </c>
      <c r="AO121" s="50">
        <v>12.6</v>
      </c>
      <c r="AP121" s="50">
        <v>12.6</v>
      </c>
      <c r="AQ121" s="50">
        <v>12.6</v>
      </c>
      <c r="AR121" s="50">
        <v>12.6</v>
      </c>
      <c r="AS121" s="50">
        <v>12.6</v>
      </c>
      <c r="AT121" s="50">
        <v>12.6</v>
      </c>
      <c r="AU121" s="50">
        <v>12.6</v>
      </c>
      <c r="AV121" s="50">
        <v>12.6</v>
      </c>
      <c r="AW121" s="50">
        <v>12.6</v>
      </c>
      <c r="AX121" s="50">
        <v>12.6</v>
      </c>
      <c r="AY121" s="50">
        <v>12.6</v>
      </c>
      <c r="AZ121" s="50">
        <v>12.6</v>
      </c>
      <c r="BA121" s="50">
        <v>12.6</v>
      </c>
      <c r="BB121" s="50">
        <v>12.6</v>
      </c>
      <c r="BC121" s="50">
        <v>12.6</v>
      </c>
      <c r="BD121" s="50">
        <v>12.6</v>
      </c>
      <c r="BE121" s="50">
        <v>12.6</v>
      </c>
      <c r="BF121" s="50">
        <v>12.6</v>
      </c>
      <c r="BG121" s="50">
        <v>12.6</v>
      </c>
      <c r="BH121" s="50">
        <v>12.6</v>
      </c>
      <c r="BI121" s="50">
        <v>12.6</v>
      </c>
    </row>
    <row r="122" spans="1:62" x14ac:dyDescent="0.3">
      <c r="A122" s="47" t="s">
        <v>377</v>
      </c>
      <c r="B122" s="48" t="s">
        <v>429</v>
      </c>
      <c r="C122" s="47" t="s">
        <v>492</v>
      </c>
      <c r="D122" s="47" t="s">
        <v>188</v>
      </c>
      <c r="E122" s="63"/>
      <c r="F122" s="47" t="s">
        <v>489</v>
      </c>
      <c r="G122" s="47" t="s">
        <v>99</v>
      </c>
      <c r="H122" s="47" t="s">
        <v>458</v>
      </c>
      <c r="I122" s="49" t="s">
        <v>503</v>
      </c>
      <c r="J122" s="50">
        <v>12.601319999999999</v>
      </c>
      <c r="K122" s="50">
        <v>11.752050000000001</v>
      </c>
      <c r="L122" s="50">
        <v>11.85333</v>
      </c>
      <c r="M122" s="50">
        <v>12.72438</v>
      </c>
      <c r="N122" s="50">
        <v>10.715070000000001</v>
      </c>
      <c r="O122" s="50">
        <v>8.9789300000000001</v>
      </c>
      <c r="P122" s="50">
        <v>8.9789300000000001</v>
      </c>
      <c r="Q122" s="50">
        <v>8.9789300000000001</v>
      </c>
      <c r="R122" s="50">
        <v>8.9789300000000001</v>
      </c>
      <c r="S122" s="50">
        <v>8.9789300000000001</v>
      </c>
      <c r="T122" s="50">
        <v>8.9789300000000001</v>
      </c>
      <c r="U122" s="50">
        <v>8.9789300000000001</v>
      </c>
      <c r="V122" s="50">
        <v>8.0810399999999998</v>
      </c>
      <c r="W122" s="50">
        <v>7.1831500000000004</v>
      </c>
      <c r="X122" s="50">
        <v>6.2852499999999996</v>
      </c>
      <c r="Y122" s="50">
        <v>5.3873600000000001</v>
      </c>
      <c r="Z122" s="50">
        <v>4.4894699999999998</v>
      </c>
      <c r="AA122" s="50">
        <v>4.0405199999999999</v>
      </c>
      <c r="AB122" s="50">
        <v>3.5915699999999999</v>
      </c>
      <c r="AC122" s="50">
        <v>3.14263</v>
      </c>
      <c r="AD122" s="50">
        <v>2.6936800000000001</v>
      </c>
      <c r="AE122" s="50">
        <v>2.2447300000000001</v>
      </c>
      <c r="AF122" s="50">
        <v>2.2447300000000001</v>
      </c>
      <c r="AG122" s="50">
        <v>2.2447300000000001</v>
      </c>
      <c r="AH122" s="50">
        <v>2.2447300000000001</v>
      </c>
      <c r="AI122" s="50">
        <v>2.2447300000000001</v>
      </c>
      <c r="AJ122" s="50">
        <v>2.2447300000000001</v>
      </c>
      <c r="AK122" s="50">
        <v>2.2447300000000001</v>
      </c>
      <c r="AL122" s="50">
        <v>2.2447300000000001</v>
      </c>
      <c r="AM122" s="50">
        <v>2.2447300000000001</v>
      </c>
      <c r="AN122" s="50">
        <v>2.2447300000000001</v>
      </c>
      <c r="AO122" s="50">
        <v>2.2447300000000001</v>
      </c>
      <c r="AP122" s="50">
        <v>2.2447300000000001</v>
      </c>
      <c r="AQ122" s="50">
        <v>2.2447300000000001</v>
      </c>
      <c r="AR122" s="50">
        <v>2.2447300000000001</v>
      </c>
      <c r="AS122" s="50">
        <v>2.2447300000000001</v>
      </c>
      <c r="AT122" s="50">
        <v>2.2447300000000001</v>
      </c>
      <c r="AU122" s="50">
        <v>2.2447300000000001</v>
      </c>
      <c r="AV122" s="50">
        <v>2.2447300000000001</v>
      </c>
      <c r="AW122" s="50">
        <v>2.2447300000000001</v>
      </c>
      <c r="AX122" s="50">
        <v>2.2447300000000001</v>
      </c>
      <c r="AY122" s="50">
        <v>2.2447300000000001</v>
      </c>
      <c r="AZ122" s="50">
        <v>2.2447300000000001</v>
      </c>
      <c r="BA122" s="50">
        <v>2.2447300000000001</v>
      </c>
      <c r="BB122" s="50">
        <v>2.2447300000000001</v>
      </c>
      <c r="BC122" s="50">
        <v>2.2447300000000001</v>
      </c>
      <c r="BD122" s="50">
        <v>2.2447300000000001</v>
      </c>
      <c r="BE122" s="50">
        <v>2.2447300000000001</v>
      </c>
      <c r="BF122" s="50">
        <v>2.2447300000000001</v>
      </c>
      <c r="BG122" s="50">
        <v>2.2447300000000001</v>
      </c>
      <c r="BH122" s="50">
        <v>2.2447300000000001</v>
      </c>
      <c r="BI122" s="50">
        <v>2.2447300000000001</v>
      </c>
    </row>
    <row r="123" spans="1:62" x14ac:dyDescent="0.3">
      <c r="A123" s="47" t="s">
        <v>377</v>
      </c>
      <c r="B123" s="48" t="s">
        <v>429</v>
      </c>
      <c r="C123" s="47" t="s">
        <v>493</v>
      </c>
      <c r="D123" s="47" t="s">
        <v>479</v>
      </c>
      <c r="E123" s="63"/>
      <c r="F123" s="47" t="s">
        <v>490</v>
      </c>
      <c r="G123" s="47" t="s">
        <v>99</v>
      </c>
      <c r="H123" s="47" t="s">
        <v>459</v>
      </c>
      <c r="I123" s="49" t="s">
        <v>620</v>
      </c>
      <c r="J123" s="50">
        <v>3.6657899999999999</v>
      </c>
      <c r="K123" s="50">
        <v>3.8409900000000001</v>
      </c>
      <c r="L123" s="50">
        <v>4.3472999999999997</v>
      </c>
      <c r="M123" s="50">
        <v>4.6101200000000002</v>
      </c>
      <c r="N123" s="50">
        <v>4.5470300000000003</v>
      </c>
      <c r="O123" s="50">
        <v>4.5015999999999998</v>
      </c>
      <c r="P123" s="50">
        <v>4.49925</v>
      </c>
      <c r="Q123" s="50">
        <v>4.4987899999999996</v>
      </c>
      <c r="R123" s="50">
        <v>4.5002000000000004</v>
      </c>
      <c r="S123" s="50">
        <v>4.5033300000000001</v>
      </c>
      <c r="T123" s="50">
        <v>4.5079799999999999</v>
      </c>
      <c r="U123" s="50">
        <v>4.4976599999999998</v>
      </c>
      <c r="V123" s="50">
        <v>4.5052300000000001</v>
      </c>
      <c r="W123" s="50">
        <v>4.5134100000000004</v>
      </c>
      <c r="X123" s="50">
        <v>4.5220399999999996</v>
      </c>
      <c r="Y123" s="50">
        <v>4.5309600000000003</v>
      </c>
      <c r="Z123" s="50">
        <v>4.5400200000000002</v>
      </c>
      <c r="AA123" s="50">
        <v>4.5490700000000004</v>
      </c>
      <c r="AB123" s="50">
        <v>4.5579900000000002</v>
      </c>
      <c r="AC123" s="50">
        <v>4.5666599999999997</v>
      </c>
      <c r="AD123" s="50">
        <v>4.5749700000000004</v>
      </c>
      <c r="AE123" s="50">
        <v>4.5828100000000003</v>
      </c>
      <c r="AF123" s="50">
        <v>4.5899700000000001</v>
      </c>
      <c r="AG123" s="50">
        <v>4.5962300000000003</v>
      </c>
      <c r="AH123" s="50">
        <v>4.6014999999999997</v>
      </c>
      <c r="AI123" s="50">
        <v>4.6057100000000002</v>
      </c>
      <c r="AJ123" s="50">
        <v>4.6088100000000001</v>
      </c>
      <c r="AK123" s="50">
        <v>4.3981399999999997</v>
      </c>
      <c r="AL123" s="50">
        <v>3.3567200000000001</v>
      </c>
      <c r="AM123" s="50">
        <v>2.2715100000000001</v>
      </c>
      <c r="AN123" s="50">
        <v>1.1500999999999999</v>
      </c>
      <c r="AO123" s="50">
        <v>0</v>
      </c>
      <c r="AP123" s="50">
        <v>0</v>
      </c>
      <c r="AQ123" s="50">
        <v>0</v>
      </c>
      <c r="AR123" s="50">
        <v>0</v>
      </c>
      <c r="AS123" s="50">
        <v>0</v>
      </c>
      <c r="AT123" s="50">
        <v>0</v>
      </c>
      <c r="AU123" s="50">
        <v>0</v>
      </c>
      <c r="AV123" s="50">
        <v>0</v>
      </c>
      <c r="AW123" s="50">
        <v>0</v>
      </c>
      <c r="AX123" s="50">
        <v>0</v>
      </c>
      <c r="AY123" s="50">
        <v>0</v>
      </c>
      <c r="AZ123" s="50">
        <v>0</v>
      </c>
      <c r="BA123" s="50">
        <v>0</v>
      </c>
      <c r="BB123" s="50">
        <v>0</v>
      </c>
      <c r="BC123" s="50">
        <v>0</v>
      </c>
      <c r="BD123" s="50">
        <v>0</v>
      </c>
      <c r="BE123" s="50">
        <v>0</v>
      </c>
      <c r="BF123" s="50">
        <v>0</v>
      </c>
      <c r="BG123" s="50">
        <v>0</v>
      </c>
      <c r="BH123" s="50">
        <v>0</v>
      </c>
      <c r="BI123" s="50">
        <v>0</v>
      </c>
    </row>
    <row r="124" spans="1:62" ht="27.6" x14ac:dyDescent="0.3">
      <c r="A124" s="47" t="s">
        <v>377</v>
      </c>
      <c r="B124" s="48" t="s">
        <v>429</v>
      </c>
      <c r="C124" s="47" t="s">
        <v>468</v>
      </c>
      <c r="D124" s="47" t="s">
        <v>185</v>
      </c>
      <c r="E124" s="63"/>
      <c r="F124" s="47" t="s">
        <v>580</v>
      </c>
      <c r="G124" s="47" t="s">
        <v>99</v>
      </c>
      <c r="H124" s="47" t="s">
        <v>460</v>
      </c>
      <c r="I124" s="49" t="s">
        <v>503</v>
      </c>
      <c r="J124" s="50">
        <v>2.34673</v>
      </c>
      <c r="K124" s="50">
        <v>1.91608</v>
      </c>
      <c r="L124" s="50">
        <v>1.8306800000000001</v>
      </c>
      <c r="M124" s="50">
        <v>1.7809600000000001</v>
      </c>
      <c r="N124" s="50">
        <v>1.4705299999999999</v>
      </c>
      <c r="O124" s="50">
        <v>1.4705299999999999</v>
      </c>
      <c r="P124" s="50">
        <v>1.4705299999999999</v>
      </c>
      <c r="Q124" s="50">
        <v>1.4705299999999999</v>
      </c>
      <c r="R124" s="50">
        <v>1.4705299999999999</v>
      </c>
      <c r="S124" s="50">
        <v>1.4705299999999999</v>
      </c>
      <c r="T124" s="50">
        <v>1.4705299999999999</v>
      </c>
      <c r="U124" s="50">
        <v>1.4705299999999999</v>
      </c>
      <c r="V124" s="50">
        <v>1.4705299999999999</v>
      </c>
      <c r="W124" s="50">
        <v>1.4705299999999999</v>
      </c>
      <c r="X124" s="50">
        <v>1.4705299999999999</v>
      </c>
      <c r="Y124" s="50">
        <v>1.4705299999999999</v>
      </c>
      <c r="Z124" s="50">
        <v>1.4705299999999999</v>
      </c>
      <c r="AA124" s="50">
        <v>1.4705299999999999</v>
      </c>
      <c r="AB124" s="50">
        <v>1.4705299999999999</v>
      </c>
      <c r="AC124" s="50">
        <v>1.4705299999999999</v>
      </c>
      <c r="AD124" s="50">
        <v>1.4705299999999999</v>
      </c>
      <c r="AE124" s="50">
        <v>1.4705299999999999</v>
      </c>
      <c r="AF124" s="50">
        <v>1.4705299999999999</v>
      </c>
      <c r="AG124" s="50">
        <v>1.4705299999999999</v>
      </c>
      <c r="AH124" s="50">
        <v>1.4705299999999999</v>
      </c>
      <c r="AI124" s="50">
        <v>1.4705299999999999</v>
      </c>
      <c r="AJ124" s="50">
        <v>1.4705299999999999</v>
      </c>
      <c r="AK124" s="50">
        <v>1.4705299999999999</v>
      </c>
      <c r="AL124" s="50">
        <v>1.4705299999999999</v>
      </c>
      <c r="AM124" s="50">
        <v>1.4705299999999999</v>
      </c>
      <c r="AN124" s="50">
        <v>1.4705299999999999</v>
      </c>
      <c r="AO124" s="50">
        <v>1.4705299999999999</v>
      </c>
      <c r="AP124" s="50">
        <v>1.4705299999999999</v>
      </c>
      <c r="AQ124" s="50">
        <v>1.4705299999999999</v>
      </c>
      <c r="AR124" s="50">
        <v>1.4705299999999999</v>
      </c>
      <c r="AS124" s="50">
        <v>1.4705299999999999</v>
      </c>
      <c r="AT124" s="50">
        <v>1.4705299999999999</v>
      </c>
      <c r="AU124" s="50">
        <v>1.4705299999999999</v>
      </c>
      <c r="AV124" s="50">
        <v>1.4705299999999999</v>
      </c>
      <c r="AW124" s="50">
        <v>1.4705299999999999</v>
      </c>
      <c r="AX124" s="50">
        <v>1.4705299999999999</v>
      </c>
      <c r="AY124" s="50">
        <v>1.4705299999999999</v>
      </c>
      <c r="AZ124" s="50">
        <v>1.4705299999999999</v>
      </c>
      <c r="BA124" s="50">
        <v>1.4705299999999999</v>
      </c>
      <c r="BB124" s="50">
        <v>1.4705299999999999</v>
      </c>
      <c r="BC124" s="50">
        <v>1.4705299999999999</v>
      </c>
      <c r="BD124" s="50">
        <v>1.4705299999999999</v>
      </c>
      <c r="BE124" s="50">
        <v>1.4705299999999999</v>
      </c>
      <c r="BF124" s="50">
        <v>1.4705299999999999</v>
      </c>
      <c r="BG124" s="50">
        <v>1.4705299999999999</v>
      </c>
      <c r="BH124" s="50">
        <v>1.4705299999999999</v>
      </c>
      <c r="BI124" s="50">
        <v>1.4705299999999999</v>
      </c>
    </row>
    <row r="125" spans="1:62" x14ac:dyDescent="0.3">
      <c r="A125" s="47" t="s">
        <v>377</v>
      </c>
      <c r="B125" s="48" t="s">
        <v>429</v>
      </c>
      <c r="C125" s="47" t="s">
        <v>469</v>
      </c>
      <c r="D125" s="47" t="s">
        <v>185</v>
      </c>
      <c r="E125" s="63"/>
      <c r="F125" s="47" t="s">
        <v>462</v>
      </c>
      <c r="G125" s="47" t="s">
        <v>99</v>
      </c>
      <c r="H125" s="47" t="s">
        <v>461</v>
      </c>
      <c r="I125" s="49" t="s">
        <v>503</v>
      </c>
      <c r="J125" s="50">
        <v>2.1791499999999999</v>
      </c>
      <c r="K125" s="50">
        <v>2.5164399999999998</v>
      </c>
      <c r="L125" s="50">
        <v>2.5116499999999999</v>
      </c>
      <c r="M125" s="50">
        <v>2.5480900000000002</v>
      </c>
      <c r="N125" s="50">
        <v>2.8355199999999998</v>
      </c>
      <c r="O125" s="50">
        <v>2.8355199999999998</v>
      </c>
      <c r="P125" s="50">
        <v>2.8355199999999998</v>
      </c>
      <c r="Q125" s="50">
        <v>2.8355199999999998</v>
      </c>
      <c r="R125" s="50">
        <v>2.8355199999999998</v>
      </c>
      <c r="S125" s="50">
        <v>2.8355199999999998</v>
      </c>
      <c r="T125" s="50">
        <v>2.8355199999999998</v>
      </c>
      <c r="U125" s="50">
        <v>2.8355199999999998</v>
      </c>
      <c r="V125" s="50">
        <v>2.8355199999999998</v>
      </c>
      <c r="W125" s="50">
        <v>2.8355199999999998</v>
      </c>
      <c r="X125" s="50">
        <v>2.8355199999999998</v>
      </c>
      <c r="Y125" s="50">
        <v>2.8355199999999998</v>
      </c>
      <c r="Z125" s="50">
        <v>2.8355199999999998</v>
      </c>
      <c r="AA125" s="50">
        <v>2.8355199999999998</v>
      </c>
      <c r="AB125" s="50">
        <v>2.8355199999999998</v>
      </c>
      <c r="AC125" s="50">
        <v>2.8355199999999998</v>
      </c>
      <c r="AD125" s="50">
        <v>2.8355199999999998</v>
      </c>
      <c r="AE125" s="50">
        <v>2.8355199999999998</v>
      </c>
      <c r="AF125" s="50">
        <v>2.8355199999999998</v>
      </c>
      <c r="AG125" s="50">
        <v>2.8355199999999998</v>
      </c>
      <c r="AH125" s="50">
        <v>2.8355199999999998</v>
      </c>
      <c r="AI125" s="50">
        <v>2.8355199999999998</v>
      </c>
      <c r="AJ125" s="50">
        <v>2.8355199999999998</v>
      </c>
      <c r="AK125" s="50">
        <v>2.8355199999999998</v>
      </c>
      <c r="AL125" s="50">
        <v>2.8355199999999998</v>
      </c>
      <c r="AM125" s="50">
        <v>2.8355199999999998</v>
      </c>
      <c r="AN125" s="50">
        <v>2.8355199999999998</v>
      </c>
      <c r="AO125" s="50">
        <v>2.8355199999999998</v>
      </c>
      <c r="AP125" s="50">
        <v>2.8355199999999998</v>
      </c>
      <c r="AQ125" s="50">
        <v>2.8355199999999998</v>
      </c>
      <c r="AR125" s="50">
        <v>2.8355199999999998</v>
      </c>
      <c r="AS125" s="50">
        <v>2.8355199999999998</v>
      </c>
      <c r="AT125" s="50">
        <v>2.8355199999999998</v>
      </c>
      <c r="AU125" s="50">
        <v>2.8355199999999998</v>
      </c>
      <c r="AV125" s="50">
        <v>2.8355199999999998</v>
      </c>
      <c r="AW125" s="50">
        <v>2.8355199999999998</v>
      </c>
      <c r="AX125" s="50">
        <v>2.8355199999999998</v>
      </c>
      <c r="AY125" s="50">
        <v>2.8355199999999998</v>
      </c>
      <c r="AZ125" s="50">
        <v>2.8355199999999998</v>
      </c>
      <c r="BA125" s="50">
        <v>2.8355199999999998</v>
      </c>
      <c r="BB125" s="50">
        <v>2.8355199999999998</v>
      </c>
      <c r="BC125" s="50">
        <v>2.8355199999999998</v>
      </c>
      <c r="BD125" s="50">
        <v>2.8355199999999998</v>
      </c>
      <c r="BE125" s="50">
        <v>2.8355199999999998</v>
      </c>
      <c r="BF125" s="50">
        <v>2.8355199999999998</v>
      </c>
      <c r="BG125" s="50">
        <v>2.8355199999999998</v>
      </c>
      <c r="BH125" s="50">
        <v>2.8355199999999998</v>
      </c>
      <c r="BI125" s="50">
        <v>2.8355199999999998</v>
      </c>
    </row>
    <row r="126" spans="1:62" x14ac:dyDescent="0.3">
      <c r="A126" s="47" t="s">
        <v>377</v>
      </c>
      <c r="B126" s="59" t="s">
        <v>484</v>
      </c>
      <c r="C126" s="47"/>
      <c r="D126" s="47" t="s">
        <v>463</v>
      </c>
      <c r="E126" s="63"/>
      <c r="F126" s="47" t="s">
        <v>473</v>
      </c>
      <c r="G126" s="47" t="s">
        <v>99</v>
      </c>
      <c r="H126" s="47" t="s">
        <v>464</v>
      </c>
      <c r="I126" s="49" t="s">
        <v>503</v>
      </c>
      <c r="J126" s="50">
        <v>0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  <c r="Q126" s="50">
        <v>0</v>
      </c>
      <c r="R126" s="50">
        <v>0</v>
      </c>
      <c r="S126" s="50">
        <v>0</v>
      </c>
      <c r="T126" s="50">
        <v>0</v>
      </c>
      <c r="U126" s="50">
        <v>0</v>
      </c>
      <c r="V126" s="50">
        <v>0</v>
      </c>
      <c r="W126" s="50">
        <v>0</v>
      </c>
      <c r="X126" s="50">
        <v>0</v>
      </c>
      <c r="Y126" s="50">
        <v>0</v>
      </c>
      <c r="Z126" s="50">
        <v>0</v>
      </c>
      <c r="AA126" s="50">
        <v>0</v>
      </c>
      <c r="AB126" s="50">
        <v>0</v>
      </c>
      <c r="AC126" s="50">
        <v>0</v>
      </c>
      <c r="AD126" s="50">
        <v>0</v>
      </c>
      <c r="AE126" s="50">
        <v>0</v>
      </c>
      <c r="AF126" s="50">
        <v>0</v>
      </c>
      <c r="AG126" s="50">
        <v>0</v>
      </c>
      <c r="AH126" s="50">
        <v>0</v>
      </c>
      <c r="AI126" s="50">
        <v>0</v>
      </c>
      <c r="AJ126" s="50">
        <v>0</v>
      </c>
      <c r="AK126" s="50">
        <v>0</v>
      </c>
      <c r="AL126" s="50">
        <v>0</v>
      </c>
      <c r="AM126" s="50">
        <v>0</v>
      </c>
      <c r="AN126" s="50">
        <v>0</v>
      </c>
      <c r="AO126" s="50">
        <v>0</v>
      </c>
      <c r="AP126" s="50">
        <v>0</v>
      </c>
      <c r="AQ126" s="50">
        <v>0</v>
      </c>
      <c r="AR126" s="50">
        <v>0</v>
      </c>
      <c r="AS126" s="50">
        <v>0</v>
      </c>
      <c r="AT126" s="50">
        <v>0</v>
      </c>
      <c r="AU126" s="50">
        <v>0</v>
      </c>
      <c r="AV126" s="50">
        <v>0</v>
      </c>
      <c r="AW126" s="50">
        <v>0</v>
      </c>
      <c r="AX126" s="50">
        <v>0</v>
      </c>
      <c r="AY126" s="50">
        <v>0</v>
      </c>
      <c r="AZ126" s="50">
        <v>0</v>
      </c>
      <c r="BA126" s="50">
        <v>0</v>
      </c>
      <c r="BB126" s="50">
        <v>0</v>
      </c>
      <c r="BC126" s="50">
        <v>0</v>
      </c>
      <c r="BD126" s="50">
        <v>0</v>
      </c>
      <c r="BE126" s="50">
        <v>0</v>
      </c>
      <c r="BF126" s="50">
        <v>0</v>
      </c>
      <c r="BG126" s="50">
        <v>0</v>
      </c>
      <c r="BH126" s="50">
        <v>0</v>
      </c>
      <c r="BI126" s="50">
        <v>0</v>
      </c>
    </row>
    <row r="127" spans="1:62" x14ac:dyDescent="0.3">
      <c r="A127" s="47" t="s">
        <v>377</v>
      </c>
      <c r="B127" s="59" t="s">
        <v>484</v>
      </c>
      <c r="C127" s="47"/>
      <c r="D127" s="47" t="s">
        <v>463</v>
      </c>
      <c r="E127" s="63"/>
      <c r="F127" s="47" t="s">
        <v>474</v>
      </c>
      <c r="G127" s="47" t="s">
        <v>99</v>
      </c>
      <c r="H127" s="47" t="s">
        <v>466</v>
      </c>
      <c r="I127" s="49" t="s">
        <v>503</v>
      </c>
      <c r="J127" s="50">
        <v>3.1842600000000001</v>
      </c>
      <c r="K127" s="50">
        <v>3.2033299999999998</v>
      </c>
      <c r="L127" s="50">
        <v>3.52102</v>
      </c>
      <c r="M127" s="50">
        <v>3.4510000000000001</v>
      </c>
      <c r="N127" s="50">
        <v>3.2619099999999999</v>
      </c>
      <c r="O127" s="50">
        <v>3.2619099999999999</v>
      </c>
      <c r="P127" s="50">
        <v>3.2619099999999999</v>
      </c>
      <c r="Q127" s="50">
        <v>3.2619099999999999</v>
      </c>
      <c r="R127" s="50">
        <v>3.2619099999999999</v>
      </c>
      <c r="S127" s="50">
        <v>3.1516000000000002</v>
      </c>
      <c r="T127" s="50">
        <v>3.0429200000000001</v>
      </c>
      <c r="U127" s="50">
        <v>2.9885799999999998</v>
      </c>
      <c r="V127" s="50">
        <v>2.6897199999999999</v>
      </c>
      <c r="W127" s="50">
        <v>2.3908700000000001</v>
      </c>
      <c r="X127" s="50">
        <v>2.0920100000000001</v>
      </c>
      <c r="Y127" s="50">
        <v>1.79315</v>
      </c>
      <c r="Z127" s="50">
        <v>1.4942899999999999</v>
      </c>
      <c r="AA127" s="50">
        <v>1.19543</v>
      </c>
      <c r="AB127" s="50">
        <v>0.89656999999999998</v>
      </c>
      <c r="AC127" s="50">
        <v>0.59772000000000003</v>
      </c>
      <c r="AD127" s="50">
        <v>0.29886000000000001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</row>
    <row r="128" spans="1:62" x14ac:dyDescent="0.3">
      <c r="A128" s="47" t="s">
        <v>377</v>
      </c>
      <c r="B128" s="62" t="s">
        <v>430</v>
      </c>
      <c r="C128" s="47" t="s">
        <v>391</v>
      </c>
      <c r="D128" s="47" t="s">
        <v>463</v>
      </c>
      <c r="E128" s="63"/>
      <c r="F128" s="47" t="s">
        <v>465</v>
      </c>
      <c r="G128" s="47" t="s">
        <v>99</v>
      </c>
      <c r="H128" s="47" t="s">
        <v>472</v>
      </c>
      <c r="I128" s="49" t="s">
        <v>500</v>
      </c>
      <c r="J128" s="50">
        <v>3.1842999999999999</v>
      </c>
      <c r="K128" s="50">
        <v>3.2033</v>
      </c>
      <c r="L128" s="50">
        <v>3.5209999999999999</v>
      </c>
      <c r="M128" s="50">
        <v>3.4510000000000001</v>
      </c>
      <c r="N128" s="50">
        <v>3.2618999999999998</v>
      </c>
      <c r="O128" s="50">
        <v>3.2618999999999998</v>
      </c>
      <c r="P128" s="50">
        <v>3.2618999999999998</v>
      </c>
      <c r="Q128" s="50">
        <v>3.2618999999999998</v>
      </c>
      <c r="R128" s="50">
        <v>3.2618999999999998</v>
      </c>
      <c r="S128" s="50">
        <v>3.1516000000000002</v>
      </c>
      <c r="T128" s="50">
        <v>3.0428999999999999</v>
      </c>
      <c r="U128" s="50">
        <v>2.9885999999999999</v>
      </c>
      <c r="V128" s="50">
        <v>2.6897000000000002</v>
      </c>
      <c r="W128" s="50">
        <v>2.3908999999999998</v>
      </c>
      <c r="X128" s="50">
        <v>2.0920000000000001</v>
      </c>
      <c r="Y128" s="50">
        <v>1.7931999999999999</v>
      </c>
      <c r="Z128" s="50">
        <v>1.4943</v>
      </c>
      <c r="AA128" s="50">
        <v>1.1954</v>
      </c>
      <c r="AB128" s="50">
        <v>0.89659999999999995</v>
      </c>
      <c r="AC128" s="50">
        <v>0.59770000000000001</v>
      </c>
      <c r="AD128" s="50">
        <v>0.2989</v>
      </c>
      <c r="AE128" s="50">
        <v>0</v>
      </c>
      <c r="AF128" s="50">
        <v>0</v>
      </c>
      <c r="AG128" s="50">
        <v>0</v>
      </c>
      <c r="AH128" s="50">
        <v>0</v>
      </c>
      <c r="AI128" s="50">
        <v>0</v>
      </c>
      <c r="AJ128" s="50">
        <v>0</v>
      </c>
      <c r="AK128" s="50">
        <v>0</v>
      </c>
      <c r="AL128" s="50">
        <v>0</v>
      </c>
      <c r="AM128" s="50">
        <v>0</v>
      </c>
      <c r="AN128" s="50">
        <v>0</v>
      </c>
      <c r="AO128" s="50">
        <v>0</v>
      </c>
      <c r="AP128" s="50">
        <v>0</v>
      </c>
      <c r="AQ128" s="50">
        <v>0</v>
      </c>
      <c r="AR128" s="50">
        <v>0</v>
      </c>
      <c r="AS128" s="50">
        <v>0</v>
      </c>
      <c r="AT128" s="50">
        <v>0</v>
      </c>
      <c r="AU128" s="50">
        <v>0</v>
      </c>
      <c r="AV128" s="50">
        <v>0</v>
      </c>
      <c r="AW128" s="50">
        <v>0</v>
      </c>
      <c r="AX128" s="50">
        <v>0</v>
      </c>
      <c r="AY128" s="50">
        <v>0</v>
      </c>
      <c r="AZ128" s="50">
        <v>0</v>
      </c>
      <c r="BA128" s="50">
        <v>0</v>
      </c>
      <c r="BB128" s="50">
        <v>0</v>
      </c>
      <c r="BC128" s="50">
        <v>0</v>
      </c>
      <c r="BD128" s="50">
        <v>0</v>
      </c>
      <c r="BE128" s="50">
        <v>0</v>
      </c>
      <c r="BF128" s="50">
        <v>0</v>
      </c>
      <c r="BG128" s="50">
        <v>0</v>
      </c>
      <c r="BH128" s="50">
        <v>0</v>
      </c>
      <c r="BI128" s="50">
        <v>0</v>
      </c>
    </row>
    <row r="129" spans="1:61" x14ac:dyDescent="0.3">
      <c r="A129" s="47" t="s">
        <v>377</v>
      </c>
      <c r="B129" s="62" t="s">
        <v>430</v>
      </c>
      <c r="C129" s="47" t="s">
        <v>101</v>
      </c>
      <c r="D129" s="47" t="s">
        <v>163</v>
      </c>
      <c r="E129" s="47"/>
      <c r="F129" s="47" t="s">
        <v>182</v>
      </c>
      <c r="G129" s="47" t="s">
        <v>99</v>
      </c>
      <c r="H129" s="47" t="s">
        <v>449</v>
      </c>
      <c r="I129" s="49" t="s">
        <v>501</v>
      </c>
      <c r="J129" s="50">
        <v>379.464</v>
      </c>
      <c r="K129" s="50">
        <v>335.41424000000001</v>
      </c>
      <c r="L129" s="50">
        <v>360.70382999999998</v>
      </c>
      <c r="M129" s="50">
        <v>279.27291000000002</v>
      </c>
      <c r="N129" s="50">
        <v>320.41208999999998</v>
      </c>
      <c r="O129" s="50">
        <v>361.71848</v>
      </c>
      <c r="P129" s="50">
        <v>373.16154999999998</v>
      </c>
      <c r="Q129" s="50">
        <v>368</v>
      </c>
      <c r="R129" s="50">
        <v>353.79703000000001</v>
      </c>
      <c r="S129" s="50">
        <v>346.66462000000001</v>
      </c>
      <c r="T129" s="50">
        <v>354.93362999999999</v>
      </c>
      <c r="U129" s="50">
        <v>329.98876999999999</v>
      </c>
      <c r="V129" s="50">
        <v>309.14398999999997</v>
      </c>
      <c r="W129" s="50">
        <v>316.49401999999998</v>
      </c>
      <c r="X129" s="50">
        <v>300.30077</v>
      </c>
      <c r="Y129" s="50">
        <v>281.78764999999999</v>
      </c>
      <c r="Z129" s="50">
        <v>264.71010000000001</v>
      </c>
      <c r="AA129" s="50">
        <v>253.99921000000001</v>
      </c>
      <c r="AB129" s="50">
        <v>237.24280999999999</v>
      </c>
      <c r="AC129" s="50">
        <v>225.16386</v>
      </c>
      <c r="AD129" s="50">
        <v>233.90043</v>
      </c>
      <c r="AE129" s="50">
        <v>214.15996999999999</v>
      </c>
      <c r="AF129" s="50">
        <v>195.77563000000001</v>
      </c>
      <c r="AG129" s="50">
        <v>178.14567</v>
      </c>
      <c r="AH129" s="50">
        <v>141.39211</v>
      </c>
      <c r="AI129" s="50">
        <v>139.89216999999999</v>
      </c>
      <c r="AJ129" s="50">
        <v>135.35333</v>
      </c>
      <c r="AK129" s="50">
        <v>121.48034</v>
      </c>
      <c r="AL129" s="50">
        <v>121.38941</v>
      </c>
      <c r="AM129" s="50">
        <v>98.438209999999998</v>
      </c>
      <c r="AN129" s="50">
        <v>98.624440000000007</v>
      </c>
      <c r="AO129" s="50">
        <v>78.044830000000005</v>
      </c>
      <c r="AP129" s="50">
        <v>75.305989999999994</v>
      </c>
      <c r="AQ129" s="50">
        <v>71.182609999999997</v>
      </c>
      <c r="AR129" s="50">
        <v>45.670140000000004</v>
      </c>
      <c r="AS129" s="50">
        <v>48.532150000000001</v>
      </c>
      <c r="AT129" s="50">
        <v>48.532150000000001</v>
      </c>
      <c r="AU129" s="50">
        <v>45.496630000000003</v>
      </c>
      <c r="AV129" s="50">
        <v>36.472279999999998</v>
      </c>
      <c r="AW129" s="50">
        <v>22.5397</v>
      </c>
      <c r="AX129" s="50">
        <v>21.573920000000001</v>
      </c>
      <c r="AY129" s="50">
        <v>12.85092</v>
      </c>
      <c r="AZ129" s="50">
        <v>17.511009999999999</v>
      </c>
      <c r="BA129" s="50">
        <v>21.756340000000002</v>
      </c>
      <c r="BB129" s="50">
        <v>8.9054199999999994</v>
      </c>
      <c r="BC129" s="50">
        <v>6.44306</v>
      </c>
      <c r="BD129" s="50">
        <v>12.85092</v>
      </c>
      <c r="BE129" s="50">
        <v>12.85092</v>
      </c>
      <c r="BF129" s="50">
        <v>12.85092</v>
      </c>
      <c r="BG129" s="50">
        <v>12.85092</v>
      </c>
      <c r="BH129" s="50">
        <v>12.85092</v>
      </c>
      <c r="BI129" s="50">
        <v>12.85092</v>
      </c>
    </row>
  </sheetData>
  <autoFilter ref="A1:BI129" xr:uid="{EE1D2B87-5405-41E3-9E8E-D745CC63FB85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DBFE-2097-4475-A385-279B85592353}">
  <sheetPr>
    <tabColor rgb="FFFFC000"/>
  </sheetPr>
  <dimension ref="A1:E84"/>
  <sheetViews>
    <sheetView zoomScale="90" workbookViewId="0">
      <pane ySplit="1" topLeftCell="A12" activePane="bottomLeft" state="frozen"/>
      <selection pane="bottomLeft" activeCell="E23" sqref="E23"/>
    </sheetView>
  </sheetViews>
  <sheetFormatPr baseColWidth="10" defaultRowHeight="14.4" x14ac:dyDescent="0.3"/>
  <cols>
    <col min="1" max="1" width="33.5546875" bestFit="1" customWidth="1"/>
    <col min="2" max="2" width="37.5546875" customWidth="1"/>
    <col min="3" max="3" width="9.33203125" bestFit="1" customWidth="1"/>
    <col min="4" max="4" width="24.33203125" customWidth="1"/>
    <col min="5" max="5" width="30" customWidth="1"/>
    <col min="6" max="7" width="16.88671875" customWidth="1"/>
  </cols>
  <sheetData>
    <row r="1" spans="1:4" x14ac:dyDescent="0.3">
      <c r="A1" s="26" t="s">
        <v>437</v>
      </c>
      <c r="B1" s="26" t="s">
        <v>132</v>
      </c>
      <c r="C1" s="26" t="s">
        <v>439</v>
      </c>
      <c r="D1" s="26" t="s">
        <v>454</v>
      </c>
    </row>
    <row r="2" spans="1:4" x14ac:dyDescent="0.3">
      <c r="A2" s="26"/>
      <c r="B2" s="26"/>
      <c r="C2" s="26"/>
      <c r="D2" s="26"/>
    </row>
    <row r="3" spans="1:4" x14ac:dyDescent="0.3">
      <c r="A3" s="26"/>
      <c r="B3" s="26"/>
      <c r="C3" s="26"/>
      <c r="D3" s="26"/>
    </row>
    <row r="4" spans="1:4" x14ac:dyDescent="0.3">
      <c r="A4" s="26"/>
      <c r="B4" t="s">
        <v>634</v>
      </c>
      <c r="C4" s="115">
        <v>-7.0000000000000007E-2</v>
      </c>
      <c r="D4" s="26"/>
    </row>
    <row r="5" spans="1:4" x14ac:dyDescent="0.3">
      <c r="A5" s="26"/>
      <c r="B5" t="s">
        <v>635</v>
      </c>
      <c r="C5" s="115">
        <v>0.6</v>
      </c>
      <c r="D5" s="26"/>
    </row>
    <row r="6" spans="1:4" x14ac:dyDescent="0.3">
      <c r="A6" s="26"/>
      <c r="B6" s="26"/>
      <c r="C6" s="26"/>
      <c r="D6" s="26"/>
    </row>
    <row r="7" spans="1:4" ht="18" x14ac:dyDescent="0.35">
      <c r="B7" s="34" t="s">
        <v>347</v>
      </c>
    </row>
    <row r="9" spans="1:4" x14ac:dyDescent="0.3">
      <c r="A9" s="32" t="s">
        <v>393</v>
      </c>
      <c r="B9" t="s">
        <v>348</v>
      </c>
      <c r="C9" s="33" cm="1">
        <f t="array" ref="C9">INDEX(Data_EOLES!$J$1:$EK$191,MATCH(A9,Data_EOLES!$C:$C,0),MATCH(year_simulated,VALUE(Data_EOLES!$J$1:$EK$1),0))</f>
        <v>27.616320000000002</v>
      </c>
      <c r="D9" t="s">
        <v>455</v>
      </c>
    </row>
    <row r="10" spans="1:4" x14ac:dyDescent="0.3">
      <c r="A10" s="32" t="s">
        <v>395</v>
      </c>
      <c r="B10" t="s">
        <v>349</v>
      </c>
      <c r="C10" s="33" cm="1">
        <f t="array" ref="C10">INDEX(Data_EOLES!$J$1:$EK$191,MATCH(A10,Data_EOLES!$C:$C,0),MATCH(year_simulated,VALUE(Data_EOLES!$J$1:$EK$1),0))</f>
        <v>7.6760799999999998</v>
      </c>
      <c r="D10" t="s">
        <v>455</v>
      </c>
    </row>
    <row r="11" spans="1:4" x14ac:dyDescent="0.3">
      <c r="A11" s="32" t="s">
        <v>394</v>
      </c>
      <c r="B11" t="s">
        <v>350</v>
      </c>
      <c r="C11" s="33" cm="1">
        <f t="array" ref="C11">INDEX(Data_EOLES!$J$1:$EK$191,MATCH(A11,Data_EOLES!$C:$C,0),MATCH(year_simulated,VALUE(Data_EOLES!$J$1:$EK$1),0))</f>
        <v>3.3402799999999999</v>
      </c>
      <c r="D11" s="38" t="s">
        <v>442</v>
      </c>
    </row>
    <row r="12" spans="1:4" x14ac:dyDescent="0.3">
      <c r="A12" s="32" t="s">
        <v>396</v>
      </c>
      <c r="B12" t="s">
        <v>351</v>
      </c>
      <c r="C12" s="33" cm="1">
        <f t="array" ref="C12">INDEX(Data_EOLES!$J$1:$EK$191,MATCH(A12,Data_EOLES!$C:$C,0),MATCH(year_simulated,VALUE(Data_EOLES!$J$1:$EK$1),0))</f>
        <v>16.651789999999998</v>
      </c>
      <c r="D12" s="38" t="s">
        <v>442</v>
      </c>
    </row>
    <row r="13" spans="1:4" x14ac:dyDescent="0.3">
      <c r="A13" s="32"/>
    </row>
    <row r="14" spans="1:4" x14ac:dyDescent="0.3">
      <c r="A14" s="32" t="s">
        <v>392</v>
      </c>
      <c r="B14" t="s">
        <v>352</v>
      </c>
      <c r="C14" s="33" cm="1">
        <f t="array" ref="C14">INDEX(Data_EOLES!$J$1:$EK$191,MATCH(A14,Data_EOLES!$C:$C,0),MATCH(year_simulated,VALUE(Data_EOLES!$J$1:$EK$1),0))</f>
        <v>96.298770000000005</v>
      </c>
      <c r="D14" t="s">
        <v>455</v>
      </c>
    </row>
    <row r="15" spans="1:4" x14ac:dyDescent="0.3">
      <c r="A15" s="32" t="s">
        <v>397</v>
      </c>
      <c r="B15" t="s">
        <v>353</v>
      </c>
      <c r="C15" s="33" cm="1">
        <f t="array" ref="C15">INDEX(Data_EOLES!$J$1:$EK$191,MATCH(A15,Data_EOLES!$C:$C,0),MATCH(year_simulated,VALUE(Data_EOLES!$J$1:$EK$1),0))</f>
        <v>103.73578000000001</v>
      </c>
      <c r="D15" t="s">
        <v>455</v>
      </c>
    </row>
    <row r="16" spans="1:4" x14ac:dyDescent="0.3">
      <c r="A16" s="32" t="s">
        <v>398</v>
      </c>
      <c r="B16" t="s">
        <v>354</v>
      </c>
      <c r="C16" s="33" cm="1">
        <f t="array" ref="C16">INDEX(Data_EOLES!$J$1:$EK$191,MATCH(A16,Data_EOLES!$C:$C,0),MATCH(year_simulated,VALUE(Data_EOLES!$J$1:$EK$1),0))</f>
        <v>66.323310000000006</v>
      </c>
      <c r="D16" t="s">
        <v>455</v>
      </c>
    </row>
    <row r="17" spans="1:4" x14ac:dyDescent="0.3">
      <c r="A17" s="32" t="s">
        <v>399</v>
      </c>
      <c r="B17" t="s">
        <v>355</v>
      </c>
      <c r="C17" s="33" cm="1">
        <f t="array" ref="C17">INDEX(Data_EOLES!$J$1:$EK$191,MATCH(A17,Data_EOLES!$C:$C,0),MATCH(year_simulated,VALUE(Data_EOLES!$J$1:$EK$1),0))</f>
        <v>47.44162</v>
      </c>
      <c r="D17" t="s">
        <v>455</v>
      </c>
    </row>
    <row r="18" spans="1:4" x14ac:dyDescent="0.3">
      <c r="A18" s="32" t="s">
        <v>401</v>
      </c>
      <c r="B18" t="s">
        <v>356</v>
      </c>
      <c r="C18" s="33" cm="1">
        <f t="array" ref="C18">INDEX(Data_EOLES!$J$1:$EK$191,MATCH(A18,Data_EOLES!$C:$C,0),MATCH(year_simulated,VALUE(Data_EOLES!$J$1:$EK$1),0))</f>
        <v>113.93828000000001</v>
      </c>
      <c r="D18" t="s">
        <v>455</v>
      </c>
    </row>
    <row r="19" spans="1:4" x14ac:dyDescent="0.3">
      <c r="A19" s="32" t="s">
        <v>400</v>
      </c>
      <c r="B19" t="s">
        <v>357</v>
      </c>
      <c r="C19" s="33" cm="1">
        <f t="array" ref="C19">INDEX(Data_EOLES!$J$1:$EK$191,MATCH(A19,Data_EOLES!$C:$C,0),MATCH(year_simulated,VALUE(Data_EOLES!$J$1:$EK$1),0))</f>
        <v>12.214309999999999</v>
      </c>
      <c r="D19" t="s">
        <v>455</v>
      </c>
    </row>
    <row r="20" spans="1:4" x14ac:dyDescent="0.3">
      <c r="A20" s="32" t="s">
        <v>403</v>
      </c>
      <c r="B20" t="s">
        <v>358</v>
      </c>
      <c r="C20" s="33" cm="1">
        <f t="array" ref="C20">INDEX(Data_EOLES!$J$1:$EK$191,MATCH(A20,Data_EOLES!$C:$C,0),MATCH(year_simulated,VALUE(Data_EOLES!$J$1:$EK$1),0))</f>
        <v>20.9709</v>
      </c>
      <c r="D20" t="s">
        <v>455</v>
      </c>
    </row>
    <row r="21" spans="1:4" x14ac:dyDescent="0.3">
      <c r="A21" s="32" t="s">
        <v>402</v>
      </c>
      <c r="B21" t="s">
        <v>359</v>
      </c>
      <c r="C21" s="33" cm="1">
        <f t="array" ref="C21">INDEX(Data_EOLES!$J$1:$EK$191,MATCH(A21,Data_EOLES!$C:$C,0),MATCH(year_simulated,VALUE(Data_EOLES!$J$1:$EK$1),0))</f>
        <v>3.2545000000000002</v>
      </c>
      <c r="D21" t="s">
        <v>455</v>
      </c>
    </row>
    <row r="22" spans="1:4" x14ac:dyDescent="0.3">
      <c r="A22" s="32" t="s">
        <v>404</v>
      </c>
      <c r="B22" t="s">
        <v>202</v>
      </c>
      <c r="C22" s="33" cm="1">
        <f t="array" ref="C22">INDEX(Data_EOLES!$J$1:$EK$191,MATCH(A22,Data_EOLES!$C:$C,0),MATCH(year_simulated,VALUE(Data_EOLES!$J$1:$EK$1),0))</f>
        <v>39.980899999999998</v>
      </c>
      <c r="D22" t="s">
        <v>455</v>
      </c>
    </row>
    <row r="23" spans="1:4" x14ac:dyDescent="0.3">
      <c r="A23" s="32"/>
    </row>
    <row r="24" spans="1:4" x14ac:dyDescent="0.3">
      <c r="A24" s="32" t="s">
        <v>373</v>
      </c>
      <c r="B24" t="s">
        <v>360</v>
      </c>
      <c r="C24" s="35">
        <f>SUM(C14:C22)</f>
        <v>504.1583700000001</v>
      </c>
      <c r="D24" s="36" t="s">
        <v>423</v>
      </c>
    </row>
    <row r="25" spans="1:4" x14ac:dyDescent="0.3">
      <c r="A25" s="32"/>
      <c r="B25" s="116" t="str">
        <f>"Total chauffage elec " &amp;year_simulated</f>
        <v>Total chauffage elec 2060</v>
      </c>
      <c r="C25" s="117">
        <f>SUM(C9:C10)</f>
        <v>35.292400000000001</v>
      </c>
      <c r="D25" s="118" t="s">
        <v>455</v>
      </c>
    </row>
    <row r="26" spans="1:4" x14ac:dyDescent="0.3">
      <c r="A26" s="32"/>
      <c r="B26" s="15" t="s">
        <v>636</v>
      </c>
      <c r="C26" s="33">
        <f>C27*(1+C4)</f>
        <v>67.162163399999997</v>
      </c>
      <c r="D26" s="16"/>
    </row>
    <row r="27" spans="1:4" x14ac:dyDescent="0.3">
      <c r="A27" s="32"/>
      <c r="B27" s="17" t="s">
        <v>372</v>
      </c>
      <c r="C27" s="119" cm="1">
        <f t="array" ref="C27">INDEX(Data_EOLES!$J$1:$EK$191,MATCH($A9,Data_EOLES!$C:$C,0),MATCH(2019,VALUE(Data_EOLES!$J$1:$EK$1),0)) + INDEX(Data_EOLES!$J$1:$EK$191,MATCH($A10,Data_EOLES!$C:$C,0),MATCH(2019,VALUE(Data_EOLES!$J$1:$EK$1),0))</f>
        <v>72.217380000000006</v>
      </c>
      <c r="D27" s="18" t="s">
        <v>455</v>
      </c>
    </row>
    <row r="28" spans="1:4" x14ac:dyDescent="0.3">
      <c r="A28" s="32"/>
      <c r="B28" s="116" t="s">
        <v>630</v>
      </c>
      <c r="C28" s="117">
        <f>SUM(C11:C12)</f>
        <v>19.992069999999998</v>
      </c>
      <c r="D28" s="118"/>
    </row>
    <row r="29" spans="1:4" x14ac:dyDescent="0.3">
      <c r="A29" s="32"/>
      <c r="B29" s="15" t="s">
        <v>637</v>
      </c>
      <c r="C29" s="33">
        <f>C30*(1+C5)</f>
        <v>25.846464000000005</v>
      </c>
      <c r="D29" s="16"/>
    </row>
    <row r="30" spans="1:4" x14ac:dyDescent="0.3">
      <c r="A30" s="32"/>
      <c r="B30" s="17" t="s">
        <v>631</v>
      </c>
      <c r="C30" s="119" cm="1">
        <f t="array" ref="C30">INDEX(Data_EOLES!$J$1:$EK$191,MATCH($A11,Data_EOLES!$C:$C,0),MATCH(2019,VALUE(Data_EOLES!$J$1:$EK$1),0)) + INDEX(Data_EOLES!$J$1:$EK$191,MATCH($A12,Data_EOLES!$C:$C,0),MATCH(2019,VALUE(Data_EOLES!$J$1:$EK$1),0))</f>
        <v>16.154040000000002</v>
      </c>
      <c r="D30" s="18"/>
    </row>
    <row r="31" spans="1:4" x14ac:dyDescent="0.3">
      <c r="A31" s="32" t="s">
        <v>376</v>
      </c>
      <c r="B31" t="str">
        <f>"coef elec 2019 "&amp;year_simulated</f>
        <v>coef elec 2019 2060</v>
      </c>
      <c r="C31" s="120">
        <f>C25/C26</f>
        <v>0.5254803927295767</v>
      </c>
      <c r="D31" s="36" t="s">
        <v>423</v>
      </c>
    </row>
    <row r="32" spans="1:4" x14ac:dyDescent="0.3">
      <c r="A32" s="32" t="s">
        <v>633</v>
      </c>
      <c r="B32" t="s">
        <v>632</v>
      </c>
      <c r="C32" s="120">
        <f>C28/C29</f>
        <v>0.77349342641221619</v>
      </c>
      <c r="D32" s="36" t="s">
        <v>423</v>
      </c>
    </row>
    <row r="33" spans="1:5" x14ac:dyDescent="0.3">
      <c r="A33" s="32"/>
    </row>
    <row r="34" spans="1:5" ht="18" x14ac:dyDescent="0.35">
      <c r="A34" s="32"/>
      <c r="B34" s="34" t="s">
        <v>441</v>
      </c>
    </row>
    <row r="35" spans="1:5" x14ac:dyDescent="0.3">
      <c r="A35" s="32"/>
    </row>
    <row r="36" spans="1:5" x14ac:dyDescent="0.3">
      <c r="A36" s="32" t="s">
        <v>410</v>
      </c>
      <c r="B36" t="s">
        <v>348</v>
      </c>
      <c r="C36" s="33" cm="1">
        <f t="array" ref="C36">INDEX(Data_EOLES!$J$1:$EK$191,MATCH(A36,Data_EOLES!$C:$C,0),MATCH(year_simulated,VALUE(Data_EOLES!$J$1:$EK$1),0))</f>
        <v>14.93263</v>
      </c>
      <c r="D36" t="s">
        <v>455</v>
      </c>
    </row>
    <row r="37" spans="1:5" x14ac:dyDescent="0.3">
      <c r="A37" s="32" t="s">
        <v>412</v>
      </c>
      <c r="B37" t="s">
        <v>349</v>
      </c>
      <c r="C37" s="33" cm="1">
        <f t="array" ref="C37">INDEX(Data_EOLES!$J$1:$EK$191,MATCH(A37,Data_EOLES!$C:$C,0),MATCH(year_simulated,VALUE(Data_EOLES!$J$1:$EK$1),0))</f>
        <v>6.4014800000000003</v>
      </c>
      <c r="D37" t="s">
        <v>455</v>
      </c>
    </row>
    <row r="38" spans="1:5" x14ac:dyDescent="0.3">
      <c r="A38" s="32"/>
    </row>
    <row r="39" spans="1:5" x14ac:dyDescent="0.3">
      <c r="A39" s="32"/>
    </row>
    <row r="40" spans="1:5" x14ac:dyDescent="0.3">
      <c r="A40" s="32"/>
    </row>
    <row r="41" spans="1:5" x14ac:dyDescent="0.3">
      <c r="A41" s="32" t="s">
        <v>411</v>
      </c>
      <c r="B41" t="s">
        <v>352</v>
      </c>
      <c r="C41" s="33" cm="1">
        <f t="array" ref="C41">INDEX(Data_EOLES!$J$1:$EK$191,MATCH(A41,Data_EOLES!$C:$C,0),MATCH(year_simulated,VALUE(Data_EOLES!$J$1:$EK$1),0))</f>
        <v>17.132999999999999</v>
      </c>
      <c r="D41" t="s">
        <v>455</v>
      </c>
    </row>
    <row r="42" spans="1:5" x14ac:dyDescent="0.3">
      <c r="A42" s="32" t="s">
        <v>413</v>
      </c>
      <c r="B42" t="s">
        <v>353</v>
      </c>
      <c r="C42" s="33" cm="1">
        <f t="array" ref="C42">INDEX(Data_EOLES!$J$1:$EK$191,MATCH(A42,Data_EOLES!$C:$C,0),MATCH(year_simulated,VALUE(Data_EOLES!$J$1:$EK$1),0))</f>
        <v>10.39766</v>
      </c>
      <c r="D42" t="s">
        <v>455</v>
      </c>
    </row>
    <row r="43" spans="1:5" x14ac:dyDescent="0.3">
      <c r="A43" s="32" t="s">
        <v>414</v>
      </c>
      <c r="B43" t="s">
        <v>354</v>
      </c>
      <c r="C43" s="33" cm="1">
        <f t="array" ref="C43">INDEX(Data_EOLES!$J$1:$EK$191,MATCH(A43,Data_EOLES!$C:$C,0),MATCH(year_simulated,VALUE(Data_EOLES!$J$1:$EK$1),0))</f>
        <v>6.0952999999999999</v>
      </c>
      <c r="D43" t="s">
        <v>455</v>
      </c>
    </row>
    <row r="44" spans="1:5" x14ac:dyDescent="0.3">
      <c r="A44" s="32" t="s">
        <v>415</v>
      </c>
      <c r="B44" t="s">
        <v>355</v>
      </c>
      <c r="C44" s="33" cm="1">
        <f t="array" ref="C44">INDEX(Data_EOLES!$J$1:$EK$191,MATCH(A44,Data_EOLES!$C:$C,0),MATCH(year_simulated,VALUE(Data_EOLES!$J$1:$EK$1),0))</f>
        <v>22.76362</v>
      </c>
      <c r="D44" t="s">
        <v>455</v>
      </c>
    </row>
    <row r="45" spans="1:5" x14ac:dyDescent="0.3">
      <c r="A45" s="32" t="s">
        <v>417</v>
      </c>
      <c r="B45" t="s">
        <v>356</v>
      </c>
      <c r="C45" s="33" cm="1">
        <f t="array" ref="C45">INDEX(Data_EOLES!$J$1:$EK$191,MATCH(A45,Data_EOLES!$C:$C,0),MATCH(year_simulated,VALUE(Data_EOLES!$J$1:$EK$1),0))</f>
        <v>42.382829999999998</v>
      </c>
      <c r="D45" t="s">
        <v>455</v>
      </c>
    </row>
    <row r="46" spans="1:5" x14ac:dyDescent="0.3">
      <c r="A46" s="32" t="s">
        <v>418</v>
      </c>
      <c r="B46" t="s">
        <v>357</v>
      </c>
      <c r="C46" s="33" cm="1">
        <f t="array" ref="C46">INDEX(Data_EOLES!$J$1:$EK$191,MATCH(A46,Data_EOLES!$C:$C,0),MATCH(year_simulated,VALUE(Data_EOLES!$J$1:$EK$1),0))</f>
        <v>10.57793</v>
      </c>
      <c r="D46" t="s">
        <v>455</v>
      </c>
    </row>
    <row r="47" spans="1:5" x14ac:dyDescent="0.3">
      <c r="A47" s="32" t="s">
        <v>420</v>
      </c>
      <c r="B47" t="s">
        <v>358</v>
      </c>
      <c r="C47" s="33" cm="1">
        <f t="array" ref="C47">INDEX(Data_EOLES!$J$1:$EK$191,MATCH(A47,Data_EOLES!$C:$C,0),MATCH(year_simulated,VALUE(Data_EOLES!$J$1:$EK$1),0))</f>
        <v>2.9594999999999998</v>
      </c>
      <c r="D47" t="s">
        <v>455</v>
      </c>
      <c r="E47" s="32"/>
    </row>
    <row r="48" spans="1:5" x14ac:dyDescent="0.3">
      <c r="A48" s="32"/>
      <c r="B48" t="s">
        <v>628</v>
      </c>
      <c r="C48" s="33">
        <v>2</v>
      </c>
      <c r="D48" t="s">
        <v>629</v>
      </c>
      <c r="E48" s="32"/>
    </row>
    <row r="49" spans="1:4" x14ac:dyDescent="0.3">
      <c r="A49" s="32" t="s">
        <v>421</v>
      </c>
      <c r="B49" t="s">
        <v>359</v>
      </c>
      <c r="C49" s="33" cm="1">
        <f t="array" ref="C49">INDEX(Data_EOLES!$J$1:$EK$191,MATCH(A49,Data_EOLES!$C:$C,0),MATCH(year_simulated,VALUE(Data_EOLES!$J$1:$EK$1),0))</f>
        <v>5.0358000000000001</v>
      </c>
      <c r="D49" t="s">
        <v>455</v>
      </c>
    </row>
    <row r="50" spans="1:4" x14ac:dyDescent="0.3">
      <c r="A50" s="32" t="s">
        <v>419</v>
      </c>
      <c r="B50" t="s">
        <v>361</v>
      </c>
      <c r="C50" s="33" cm="1">
        <f t="array" ref="C50">INDEX(Data_EOLES!$J$1:$EK$191,MATCH(A50,Data_EOLES!$C:$C,0),MATCH(year_simulated,VALUE(Data_EOLES!$J$1:$EK$1),0))</f>
        <v>7.8542899999999998</v>
      </c>
      <c r="D50" t="s">
        <v>455</v>
      </c>
    </row>
    <row r="51" spans="1:4" x14ac:dyDescent="0.3">
      <c r="A51" s="32" t="s">
        <v>416</v>
      </c>
      <c r="B51" t="s">
        <v>447</v>
      </c>
      <c r="C51" s="33" cm="1">
        <f t="array" ref="C51">INDEX(Data_EOLES!$J$1:$EK$191,MATCH(A51,Data_EOLES!$C:$C,0),MATCH(year_simulated,VALUE(Data_EOLES!$J$1:$EK$1),0))</f>
        <v>3.0157500000000002</v>
      </c>
      <c r="D51" t="s">
        <v>455</v>
      </c>
    </row>
    <row r="52" spans="1:4" x14ac:dyDescent="0.3">
      <c r="A52" s="32" t="s">
        <v>530</v>
      </c>
      <c r="B52" t="s">
        <v>273</v>
      </c>
      <c r="C52" s="33" t="e" cm="1">
        <f t="array" ref="C52">INDEX(Data_EOLES!$J$1:$EK$191,MATCH(A52,Data_EOLES!$C:$C,0),MATCH(year_simulated,VALUE(Data_EOLES!$J$1:$EK$1),0))</f>
        <v>#N/A</v>
      </c>
      <c r="D52" t="s">
        <v>455</v>
      </c>
    </row>
    <row r="53" spans="1:4" ht="12.45" customHeight="1" x14ac:dyDescent="0.3">
      <c r="A53" s="32" t="s">
        <v>422</v>
      </c>
      <c r="B53" t="s">
        <v>448</v>
      </c>
      <c r="C53" s="33" cm="1">
        <f t="array" ref="C53">INDEX(Data_EOLES!$J$1:$EK$191,MATCH(A53,Data_EOLES!$C:$C,0),MATCH(year_simulated,VALUE(Data_EOLES!$J$1:$EK$1),0))</f>
        <v>1.2272000000000001</v>
      </c>
      <c r="D53" t="s">
        <v>455</v>
      </c>
    </row>
    <row r="54" spans="1:4" x14ac:dyDescent="0.3">
      <c r="A54" s="32"/>
    </row>
    <row r="55" spans="1:4" x14ac:dyDescent="0.3">
      <c r="A55" s="32" t="s">
        <v>375</v>
      </c>
      <c r="B55" t="s">
        <v>445</v>
      </c>
      <c r="C55" s="35">
        <f xml:space="preserve"> SUM(C41:C47)+SUM(C49:C51)+C53 - C48</f>
        <v>127.44288</v>
      </c>
      <c r="D55" s="36" t="s">
        <v>423</v>
      </c>
    </row>
    <row r="56" spans="1:4" x14ac:dyDescent="0.3">
      <c r="A56" s="32"/>
      <c r="B56" t="str">
        <f>"Total chauffage gaz "&amp;year_simulated</f>
        <v>Total chauffage gaz 2060</v>
      </c>
      <c r="C56" s="33">
        <f>SUM(C36:C37)</f>
        <v>21.334109999999999</v>
      </c>
      <c r="D56" t="s">
        <v>455</v>
      </c>
    </row>
    <row r="57" spans="1:4" x14ac:dyDescent="0.3">
      <c r="A57" s="32"/>
      <c r="B57" t="s">
        <v>446</v>
      </c>
      <c r="C57" s="33" cm="1">
        <f t="array" ref="C57">INDEX(Data_EOLES!$J$1:$EK$191,MATCH($A36,Data_EOLES!$C:$C,0),MATCH(2019,VALUE(Data_EOLES!$J$1:$EK$1),0)) + INDEX(Data_EOLES!$J$1:$EK$191,MATCH($A37,Data_EOLES!$C:$C,0),MATCH(2019,VALUE(Data_EOLES!$J$1:$EK$1),0))</f>
        <v>171.99988000000002</v>
      </c>
      <c r="D57" t="s">
        <v>455</v>
      </c>
    </row>
    <row r="58" spans="1:4" x14ac:dyDescent="0.3">
      <c r="A58" s="32" t="s">
        <v>374</v>
      </c>
      <c r="B58" t="str">
        <f>"coef gaz 2019 "&amp;year_simulated</f>
        <v>coef gaz 2019 2060</v>
      </c>
      <c r="C58" s="35">
        <f>C56/C57</f>
        <v>0.12403560979228588</v>
      </c>
      <c r="D58" s="36" t="s">
        <v>423</v>
      </c>
    </row>
    <row r="59" spans="1:4" x14ac:dyDescent="0.3">
      <c r="A59" s="32"/>
    </row>
    <row r="60" spans="1:4" x14ac:dyDescent="0.3">
      <c r="A60" s="32"/>
    </row>
    <row r="61" spans="1:4" x14ac:dyDescent="0.3">
      <c r="A61" s="32"/>
    </row>
    <row r="62" spans="1:4" ht="18" x14ac:dyDescent="0.35">
      <c r="A62" s="32"/>
      <c r="B62" s="34" t="s">
        <v>440</v>
      </c>
    </row>
    <row r="63" spans="1:4" x14ac:dyDescent="0.3">
      <c r="A63" s="32"/>
    </row>
    <row r="64" spans="1:4" x14ac:dyDescent="0.3">
      <c r="A64" s="32" t="s">
        <v>405</v>
      </c>
      <c r="B64" t="s">
        <v>217</v>
      </c>
      <c r="C64" s="33" cm="1">
        <f t="array" ref="C64">INDEX(Data_EOLES!$J$1:$EK$191,MATCH(A64,Data_EOLES!$C:$C,0),MATCH(year_simulated,VALUE(Data_EOLES!$J$1:$EK$1),0))</f>
        <v>3.0392999999999999</v>
      </c>
      <c r="D64" t="s">
        <v>455</v>
      </c>
    </row>
    <row r="65" spans="1:4" x14ac:dyDescent="0.3">
      <c r="A65" s="32" t="s">
        <v>406</v>
      </c>
      <c r="B65" t="s">
        <v>253</v>
      </c>
      <c r="C65" s="33" cm="1">
        <f t="array" ref="C65">INDEX(Data_EOLES!$J$1:$EK$191,MATCH(A65,Data_EOLES!$C:$C,0),MATCH(year_simulated,VALUE(Data_EOLES!$J$1:$EK$1),0))</f>
        <v>0.90059999999999996</v>
      </c>
      <c r="D65" t="s">
        <v>455</v>
      </c>
    </row>
    <row r="66" spans="1:4" x14ac:dyDescent="0.3">
      <c r="A66" s="32" t="s">
        <v>407</v>
      </c>
      <c r="B66" t="s">
        <v>362</v>
      </c>
      <c r="C66" s="33" cm="1">
        <f t="array" ref="C66">INDEX(Data_EOLES!$J$1:$EK$191,MATCH(A66,Data_EOLES!$C:$C,0),MATCH(year_simulated,VALUE(Data_EOLES!$J$1:$EK$1),0))</f>
        <v>0</v>
      </c>
      <c r="D66" t="s">
        <v>455</v>
      </c>
    </row>
    <row r="67" spans="1:4" x14ac:dyDescent="0.3">
      <c r="A67" s="32" t="s">
        <v>408</v>
      </c>
      <c r="B67" t="s">
        <v>213</v>
      </c>
      <c r="C67" s="33" cm="1">
        <f t="array" ref="C67">INDEX(Data_EOLES!$J$1:$EK$191,MATCH(A67,Data_EOLES!$C:$C,0),MATCH(year_simulated,VALUE(Data_EOLES!$J$1:$EK$1),0))</f>
        <v>24.940899999999999</v>
      </c>
      <c r="D67" t="s">
        <v>455</v>
      </c>
    </row>
    <row r="68" spans="1:4" x14ac:dyDescent="0.3">
      <c r="A68" s="32" t="s">
        <v>444</v>
      </c>
      <c r="B68" t="s">
        <v>434</v>
      </c>
      <c r="C68" s="33" cm="1">
        <f t="array" ref="C68">INDEX(Data_EOLES!$J$1:$EK$191,MATCH(A68,Data_EOLES!$C:$C,0),MATCH(year_simulated,VALUE(Data_EOLES!$J$1:$EK$1),0))</f>
        <v>2.0373000000000001</v>
      </c>
      <c r="D68" t="s">
        <v>455</v>
      </c>
    </row>
    <row r="69" spans="1:4" x14ac:dyDescent="0.3">
      <c r="A69" s="32" t="s">
        <v>529</v>
      </c>
      <c r="B69" t="s">
        <v>273</v>
      </c>
      <c r="C69" s="33" t="e" cm="1">
        <f t="array" ref="C69">INDEX(Data_EOLES!$J$1:$EK$191,MATCH(A69,Data_EOLES!$C:$C,0),MATCH(year_simulated,VALUE(Data_EOLES!$J$1:$EK$1),0))</f>
        <v>#N/A</v>
      </c>
      <c r="D69" t="s">
        <v>455</v>
      </c>
    </row>
    <row r="70" spans="1:4" x14ac:dyDescent="0.3">
      <c r="A70" s="32" t="s">
        <v>409</v>
      </c>
      <c r="B70" t="s">
        <v>363</v>
      </c>
      <c r="C70" s="33" cm="1">
        <f t="array" ref="C70">INDEX(Data_EOLES!$J$1:$EK$191,MATCH(A70,Data_EOLES!$C:$C,0),MATCH(year_simulated,VALUE(Data_EOLES!$J$1:$EK$1),0))</f>
        <v>18.846399999999999</v>
      </c>
      <c r="D70" t="s">
        <v>455</v>
      </c>
    </row>
    <row r="71" spans="1:4" x14ac:dyDescent="0.3">
      <c r="A71" s="32"/>
    </row>
    <row r="72" spans="1:4" x14ac:dyDescent="0.3">
      <c r="A72" s="32" t="s">
        <v>531</v>
      </c>
      <c r="B72" t="s">
        <v>364</v>
      </c>
      <c r="C72" s="35">
        <f>SUM(C64:C68)+C70</f>
        <v>49.764499999999998</v>
      </c>
      <c r="D72" s="36" t="s">
        <v>423</v>
      </c>
    </row>
    <row r="73" spans="1:4" x14ac:dyDescent="0.3">
      <c r="A73" s="32"/>
    </row>
    <row r="74" spans="1:4" ht="18" x14ac:dyDescent="0.35">
      <c r="A74" s="32"/>
      <c r="B74" s="34" t="s">
        <v>467</v>
      </c>
    </row>
    <row r="75" spans="1:4" x14ac:dyDescent="0.3">
      <c r="A75" s="32"/>
    </row>
    <row r="76" spans="1:4" x14ac:dyDescent="0.3">
      <c r="A76" s="32" t="s">
        <v>492</v>
      </c>
      <c r="B76" t="s">
        <v>495</v>
      </c>
      <c r="C76" s="33" cm="1">
        <f t="array" ref="C76">INDEX(Data_EOLES!$J$1:$EK$191,MATCH(A76,Data_EOLES!$C:$C,0),MATCH(year_simulated,VALUE(Data_EOLES!$J$1:$EK$1),0))</f>
        <v>2.2447300000000001</v>
      </c>
      <c r="D76" t="s">
        <v>455</v>
      </c>
    </row>
    <row r="77" spans="1:4" x14ac:dyDescent="0.3">
      <c r="A77" s="32" t="s">
        <v>493</v>
      </c>
      <c r="B77" t="s">
        <v>496</v>
      </c>
      <c r="C77" s="33" cm="1">
        <f t="array" ref="C77">INDEX(Data_EOLES!$J$1:$EK$191,MATCH(A77,Data_EOLES!$C:$C,0),MATCH(year_simulated,VALUE(Data_EOLES!$J$1:$EK$1),0))</f>
        <v>0</v>
      </c>
      <c r="D77" t="s">
        <v>455</v>
      </c>
    </row>
    <row r="78" spans="1:4" x14ac:dyDescent="0.3">
      <c r="A78" s="32"/>
    </row>
    <row r="79" spans="1:4" x14ac:dyDescent="0.3">
      <c r="A79" s="32" t="s">
        <v>389</v>
      </c>
      <c r="B79" t="s">
        <v>497</v>
      </c>
      <c r="C79" s="33">
        <f>SUM(C76:C77)</f>
        <v>2.2447300000000001</v>
      </c>
      <c r="D79" s="36" t="s">
        <v>111</v>
      </c>
    </row>
    <row r="80" spans="1:4" x14ac:dyDescent="0.3">
      <c r="A80" s="32"/>
    </row>
    <row r="81" spans="1:4" x14ac:dyDescent="0.3">
      <c r="A81" s="32" t="s">
        <v>468</v>
      </c>
      <c r="B81" t="s">
        <v>470</v>
      </c>
      <c r="C81" s="33" cm="1">
        <f t="array" ref="C81">INDEX(Data_EOLES!$J$1:$EK$191,MATCH(A81,Data_EOLES!$C:$C,0),MATCH(year_simulated,VALUE(Data_EOLES!$J$1:$EK$1),0))</f>
        <v>1.4705299999999999</v>
      </c>
      <c r="D81" t="s">
        <v>455</v>
      </c>
    </row>
    <row r="82" spans="1:4" x14ac:dyDescent="0.3">
      <c r="A82" s="32" t="s">
        <v>469</v>
      </c>
      <c r="B82" t="s">
        <v>471</v>
      </c>
      <c r="C82" s="33" cm="1">
        <f t="array" ref="C82">INDEX(Data_EOLES!$J$1:$EK$191,MATCH(A82,Data_EOLES!$C:$C,0),MATCH(year_simulated,VALUE(Data_EOLES!$J$1:$EK$1),0))</f>
        <v>2.8355199999999998</v>
      </c>
      <c r="D82" t="s">
        <v>455</v>
      </c>
    </row>
    <row r="84" spans="1:4" x14ac:dyDescent="0.3">
      <c r="A84" t="s">
        <v>390</v>
      </c>
      <c r="B84" t="s">
        <v>475</v>
      </c>
      <c r="C84" s="33">
        <f>SUM(C80:C82)</f>
        <v>4.3060499999999999</v>
      </c>
      <c r="D84" s="3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2468-A26A-4019-9588-483933EFD0C1}">
  <dimension ref="A1:B6"/>
  <sheetViews>
    <sheetView zoomScale="59" workbookViewId="0">
      <selection activeCell="B3" sqref="B3"/>
    </sheetView>
  </sheetViews>
  <sheetFormatPr baseColWidth="10" defaultRowHeight="14.4" x14ac:dyDescent="0.3"/>
  <cols>
    <col min="1" max="1" width="17.44140625" customWidth="1"/>
  </cols>
  <sheetData>
    <row r="1" spans="1:2" x14ac:dyDescent="0.3">
      <c r="A1" t="s">
        <v>373</v>
      </c>
      <c r="B1" s="31">
        <f>INDEX(traitement_nW_EOLES!$C:$C,MATCH($A1,traitement_nW_EOLES!$A:$A,0))</f>
        <v>504.1583700000001</v>
      </c>
    </row>
    <row r="2" spans="1:2" x14ac:dyDescent="0.3">
      <c r="A2" t="s">
        <v>376</v>
      </c>
      <c r="B2" s="30">
        <f>INDEX(traitement_nW_EOLES!$C:$C,MATCH($A2,traitement_nW_EOLES!$A:$A,0))</f>
        <v>0.5254803927295767</v>
      </c>
    </row>
    <row r="3" spans="1:2" x14ac:dyDescent="0.3">
      <c r="A3" t="s">
        <v>633</v>
      </c>
      <c r="B3" s="30">
        <f>INDEX(traitement_nW_EOLES!$C:$C,MATCH($A3,traitement_nW_EOLES!$A:$A,0))</f>
        <v>0.77349342641221619</v>
      </c>
    </row>
    <row r="4" spans="1:2" x14ac:dyDescent="0.3">
      <c r="A4" t="s">
        <v>375</v>
      </c>
      <c r="B4" s="31">
        <f>INDEX(traitement_nW_EOLES!$C:$C,MATCH($A4,traitement_nW_EOLES!$A:$A,0))</f>
        <v>127.44288</v>
      </c>
    </row>
    <row r="5" spans="1:2" x14ac:dyDescent="0.3">
      <c r="A5" t="s">
        <v>374</v>
      </c>
      <c r="B5" s="30">
        <f>INDEX(traitement_nW_EOLES!$C:$C,MATCH($A5,traitement_nW_EOLES!$A:$A,0))</f>
        <v>0.12403560979228588</v>
      </c>
    </row>
    <row r="6" spans="1:2" x14ac:dyDescent="0.3">
      <c r="A6" t="s">
        <v>531</v>
      </c>
      <c r="B6" s="31">
        <f>INDEX(traitement_nW_EOLES!$C:$C,MATCH($A6,traitement_nW_EOLES!$A:$A,0))</f>
        <v>49.764499999999998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C575-08D3-4EB4-8485-232665538DD9}">
  <sheetPr>
    <tabColor theme="8" tint="-0.249977111117893"/>
  </sheetPr>
  <dimension ref="A1:C23"/>
  <sheetViews>
    <sheetView zoomScale="75" workbookViewId="0">
      <selection activeCell="B3" sqref="B3"/>
    </sheetView>
  </sheetViews>
  <sheetFormatPr baseColWidth="10" defaultRowHeight="14.4" x14ac:dyDescent="0.3"/>
  <cols>
    <col min="1" max="1" width="37.5546875" customWidth="1"/>
  </cols>
  <sheetData>
    <row r="1" spans="1:3" x14ac:dyDescent="0.3">
      <c r="A1" t="s">
        <v>38</v>
      </c>
      <c r="B1" t="s">
        <v>39</v>
      </c>
      <c r="C1" t="s">
        <v>45</v>
      </c>
    </row>
    <row r="2" spans="1:3" x14ac:dyDescent="0.3">
      <c r="A2" t="s">
        <v>90</v>
      </c>
      <c r="B2">
        <v>2060</v>
      </c>
    </row>
    <row r="3" spans="1:3" x14ac:dyDescent="0.3">
      <c r="A3" t="s">
        <v>41</v>
      </c>
      <c r="B3">
        <v>400</v>
      </c>
      <c r="C3" t="s">
        <v>46</v>
      </c>
    </row>
    <row r="4" spans="1:3" x14ac:dyDescent="0.3">
      <c r="A4" t="s">
        <v>42</v>
      </c>
      <c r="B4">
        <v>0</v>
      </c>
      <c r="C4" t="s">
        <v>48</v>
      </c>
    </row>
    <row r="5" spans="1:3" x14ac:dyDescent="0.3">
      <c r="A5" t="s">
        <v>43</v>
      </c>
      <c r="B5">
        <v>37245</v>
      </c>
      <c r="C5" t="s">
        <v>47</v>
      </c>
    </row>
    <row r="6" spans="1:3" x14ac:dyDescent="0.3">
      <c r="A6" t="s">
        <v>44</v>
      </c>
      <c r="B6">
        <v>52087</v>
      </c>
      <c r="C6" t="s">
        <v>47</v>
      </c>
    </row>
    <row r="7" spans="1:3" x14ac:dyDescent="0.3">
      <c r="A7" t="s">
        <v>81</v>
      </c>
      <c r="B7">
        <v>0.83799999999999997</v>
      </c>
    </row>
    <row r="8" spans="1:3" x14ac:dyDescent="0.3">
      <c r="A8" t="s">
        <v>49</v>
      </c>
      <c r="B8">
        <v>0.56200000000000006</v>
      </c>
      <c r="C8" t="s">
        <v>50</v>
      </c>
    </row>
    <row r="9" spans="1:3" x14ac:dyDescent="0.3">
      <c r="A9" t="s">
        <v>52</v>
      </c>
      <c r="B9">
        <v>6.5799999999999999E-3</v>
      </c>
    </row>
    <row r="10" spans="1:3" x14ac:dyDescent="0.3">
      <c r="A10" t="s">
        <v>51</v>
      </c>
      <c r="B10">
        <v>1.6800000000000001E-3</v>
      </c>
    </row>
    <row r="11" spans="1:3" x14ac:dyDescent="0.3">
      <c r="A11" t="s">
        <v>53</v>
      </c>
      <c r="B11">
        <v>1.8899999999999999E-5</v>
      </c>
      <c r="C11" t="s">
        <v>54</v>
      </c>
    </row>
    <row r="12" spans="1:3" x14ac:dyDescent="0.3">
      <c r="A12" t="s">
        <v>55</v>
      </c>
      <c r="B12">
        <v>6</v>
      </c>
      <c r="C12" t="s">
        <v>56</v>
      </c>
    </row>
    <row r="13" spans="1:3" x14ac:dyDescent="0.3">
      <c r="A13" t="s">
        <v>57</v>
      </c>
      <c r="B13">
        <v>0.01</v>
      </c>
    </row>
    <row r="14" spans="1:3" x14ac:dyDescent="0.3">
      <c r="A14" t="s">
        <v>58</v>
      </c>
      <c r="B14">
        <v>0.1</v>
      </c>
    </row>
    <row r="15" spans="1:3" x14ac:dyDescent="0.3">
      <c r="A15" t="s">
        <v>59</v>
      </c>
      <c r="B15">
        <v>0.5</v>
      </c>
    </row>
    <row r="16" spans="1:3" x14ac:dyDescent="0.3">
      <c r="A16" t="s">
        <v>60</v>
      </c>
      <c r="B16">
        <v>0.92</v>
      </c>
    </row>
    <row r="17" spans="1:3" x14ac:dyDescent="0.3">
      <c r="A17" t="s">
        <v>91</v>
      </c>
      <c r="B17">
        <v>1E-4</v>
      </c>
    </row>
    <row r="18" spans="1:3" x14ac:dyDescent="0.3">
      <c r="A18" t="s">
        <v>96</v>
      </c>
      <c r="B18">
        <v>170</v>
      </c>
      <c r="C18" t="s">
        <v>97</v>
      </c>
    </row>
    <row r="19" spans="1:3" x14ac:dyDescent="0.3">
      <c r="A19" t="s">
        <v>638</v>
      </c>
      <c r="B19">
        <v>0.2</v>
      </c>
    </row>
    <row r="20" spans="1:3" x14ac:dyDescent="0.3">
      <c r="A20" t="s">
        <v>639</v>
      </c>
      <c r="B20">
        <v>0.9</v>
      </c>
    </row>
    <row r="21" spans="1:3" x14ac:dyDescent="0.3">
      <c r="A21" t="s">
        <v>101</v>
      </c>
      <c r="B21" s="31" cm="1">
        <f t="array" ref="B21">INDEX(Data_EOLES!$J$1:$EK$191,MATCH(A21,Data_EOLES!$C:$C,0),MATCH(year_simulated,VALUE(Data_EOLES!$J$1:$EK$1),0))</f>
        <v>12.85092</v>
      </c>
      <c r="C21" t="s">
        <v>102</v>
      </c>
    </row>
    <row r="22" spans="1:3" x14ac:dyDescent="0.3">
      <c r="A22" t="s">
        <v>40</v>
      </c>
      <c r="B22">
        <v>0.7</v>
      </c>
    </row>
    <row r="23" spans="1:3" x14ac:dyDescent="0.3">
      <c r="A23" t="s">
        <v>621</v>
      </c>
      <c r="B23">
        <v>240</v>
      </c>
      <c r="C23" t="s">
        <v>102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19BC-9FC6-43AD-A04C-C7BD9EA92670}">
  <sheetPr>
    <tabColor theme="9" tint="-0.249977111117893"/>
  </sheetPr>
  <dimension ref="A1:K36"/>
  <sheetViews>
    <sheetView zoomScale="61" workbookViewId="0">
      <selection activeCell="I21" sqref="I21"/>
    </sheetView>
  </sheetViews>
  <sheetFormatPr baseColWidth="10" defaultRowHeight="14.4" x14ac:dyDescent="0.3"/>
  <cols>
    <col min="1" max="1" width="19.109375" style="1" customWidth="1"/>
    <col min="4" max="4" width="14.44140625" customWidth="1"/>
    <col min="5" max="5" width="17.88671875" customWidth="1"/>
    <col min="6" max="6" width="14.6640625" customWidth="1"/>
  </cols>
  <sheetData>
    <row r="1" spans="1:11" x14ac:dyDescent="0.3">
      <c r="A1" s="1" t="s">
        <v>0</v>
      </c>
      <c r="B1" s="5" t="s">
        <v>33</v>
      </c>
      <c r="C1" s="5" t="s">
        <v>31</v>
      </c>
      <c r="D1" s="5" t="s">
        <v>32</v>
      </c>
      <c r="E1" s="5" t="s">
        <v>34</v>
      </c>
      <c r="F1" s="5" t="s">
        <v>35</v>
      </c>
      <c r="G1" s="5" t="s">
        <v>36</v>
      </c>
      <c r="H1" s="5" t="s">
        <v>37</v>
      </c>
    </row>
    <row r="2" spans="1:11" x14ac:dyDescent="0.3">
      <c r="A2" s="2" t="s">
        <v>1</v>
      </c>
      <c r="B2">
        <v>5017.5</v>
      </c>
      <c r="C2">
        <v>100.3</v>
      </c>
      <c r="E2">
        <v>3.5</v>
      </c>
      <c r="F2">
        <v>0.04</v>
      </c>
      <c r="G2">
        <v>30</v>
      </c>
      <c r="H2">
        <v>0</v>
      </c>
      <c r="K2" s="4"/>
    </row>
    <row r="3" spans="1:11" x14ac:dyDescent="0.3">
      <c r="A3" s="2" t="s">
        <v>2</v>
      </c>
      <c r="B3">
        <v>4807</v>
      </c>
      <c r="C3">
        <v>79.900000000000006</v>
      </c>
      <c r="E3">
        <v>3.5</v>
      </c>
      <c r="F3">
        <v>0.04</v>
      </c>
      <c r="G3">
        <v>30</v>
      </c>
      <c r="H3">
        <v>0</v>
      </c>
      <c r="K3" s="4"/>
    </row>
    <row r="4" spans="1:11" x14ac:dyDescent="0.3">
      <c r="A4" s="2" t="s">
        <v>3</v>
      </c>
      <c r="B4">
        <v>836.5</v>
      </c>
      <c r="C4">
        <v>32</v>
      </c>
      <c r="E4">
        <v>1.5</v>
      </c>
      <c r="F4">
        <v>0.04</v>
      </c>
      <c r="G4">
        <v>25</v>
      </c>
      <c r="H4">
        <v>0</v>
      </c>
      <c r="K4" s="4"/>
    </row>
    <row r="5" spans="1:11" x14ac:dyDescent="0.3">
      <c r="A5" s="2" t="s">
        <v>61</v>
      </c>
      <c r="B5">
        <v>686.8</v>
      </c>
      <c r="C5">
        <v>15.3</v>
      </c>
      <c r="E5">
        <v>0.5</v>
      </c>
      <c r="F5">
        <v>0.04</v>
      </c>
      <c r="G5">
        <v>25</v>
      </c>
      <c r="H5">
        <v>0</v>
      </c>
      <c r="K5" s="4"/>
    </row>
    <row r="6" spans="1:11" x14ac:dyDescent="0.3">
      <c r="A6" s="2" t="s">
        <v>62</v>
      </c>
      <c r="B6">
        <v>799.85</v>
      </c>
      <c r="C6">
        <v>17.850000000000001</v>
      </c>
      <c r="E6">
        <v>0.25</v>
      </c>
      <c r="F6">
        <v>0.04</v>
      </c>
      <c r="G6">
        <v>25</v>
      </c>
      <c r="H6">
        <v>0</v>
      </c>
      <c r="K6" s="4"/>
    </row>
    <row r="7" spans="1:11" x14ac:dyDescent="0.3">
      <c r="A7" s="2" t="s">
        <v>63</v>
      </c>
      <c r="B7">
        <v>1538.5</v>
      </c>
      <c r="C7">
        <v>47.2</v>
      </c>
      <c r="E7">
        <v>0</v>
      </c>
      <c r="F7">
        <v>0.04</v>
      </c>
      <c r="G7">
        <v>25</v>
      </c>
      <c r="H7">
        <v>0</v>
      </c>
      <c r="K7" s="4"/>
    </row>
    <row r="8" spans="1:11" x14ac:dyDescent="0.3">
      <c r="A8" s="2" t="s">
        <v>4</v>
      </c>
      <c r="B8">
        <v>1400</v>
      </c>
      <c r="C8">
        <v>74</v>
      </c>
      <c r="E8">
        <v>7</v>
      </c>
      <c r="F8">
        <v>0.04</v>
      </c>
      <c r="G8">
        <v>70</v>
      </c>
      <c r="H8">
        <v>6.2500000000000001E-4</v>
      </c>
      <c r="K8" s="4"/>
    </row>
    <row r="9" spans="1:11" x14ac:dyDescent="0.3">
      <c r="A9" s="2" t="s">
        <v>21</v>
      </c>
      <c r="B9">
        <v>2375</v>
      </c>
      <c r="C9">
        <v>343.75</v>
      </c>
      <c r="E9">
        <v>0</v>
      </c>
      <c r="F9">
        <v>0.04</v>
      </c>
      <c r="G9">
        <v>25</v>
      </c>
      <c r="H9">
        <v>0</v>
      </c>
      <c r="K9" s="4"/>
    </row>
    <row r="10" spans="1:11" x14ac:dyDescent="0.3">
      <c r="A10" s="2" t="s">
        <v>22</v>
      </c>
      <c r="B10">
        <v>0</v>
      </c>
      <c r="C10">
        <v>0</v>
      </c>
      <c r="E10">
        <v>0</v>
      </c>
      <c r="F10">
        <v>0.04</v>
      </c>
      <c r="G10">
        <v>25</v>
      </c>
      <c r="H10">
        <v>0</v>
      </c>
      <c r="K10" s="4"/>
    </row>
    <row r="11" spans="1:11" x14ac:dyDescent="0.3">
      <c r="A11" s="2" t="s">
        <v>23</v>
      </c>
      <c r="B11">
        <v>3900</v>
      </c>
      <c r="C11">
        <v>78</v>
      </c>
      <c r="E11">
        <v>0</v>
      </c>
      <c r="F11">
        <v>0.04</v>
      </c>
      <c r="G11">
        <v>25</v>
      </c>
      <c r="H11">
        <v>4.1250000000000002E-3</v>
      </c>
      <c r="K11" s="4"/>
    </row>
    <row r="12" spans="1:11" x14ac:dyDescent="0.3">
      <c r="A12" s="2" t="s">
        <v>24</v>
      </c>
      <c r="B12">
        <v>7537.5</v>
      </c>
      <c r="C12">
        <v>150.75</v>
      </c>
      <c r="E12">
        <v>0</v>
      </c>
      <c r="F12">
        <v>0.04</v>
      </c>
      <c r="G12">
        <v>30</v>
      </c>
      <c r="H12">
        <v>0</v>
      </c>
      <c r="K12" s="4"/>
    </row>
    <row r="13" spans="1:11" x14ac:dyDescent="0.3">
      <c r="A13" s="2" t="s">
        <v>25</v>
      </c>
      <c r="B13">
        <v>1212.5</v>
      </c>
      <c r="C13">
        <v>47.287500000000001</v>
      </c>
      <c r="E13">
        <v>0</v>
      </c>
      <c r="F13">
        <v>0.04</v>
      </c>
      <c r="G13">
        <v>30</v>
      </c>
      <c r="H13">
        <v>5.0000000000000001E-3</v>
      </c>
      <c r="K13" s="4"/>
    </row>
    <row r="14" spans="1:11" x14ac:dyDescent="0.3">
      <c r="A14" s="3" t="s">
        <v>6</v>
      </c>
      <c r="B14">
        <v>8250</v>
      </c>
      <c r="C14">
        <v>103</v>
      </c>
      <c r="E14">
        <v>10</v>
      </c>
      <c r="F14">
        <v>0.04</v>
      </c>
      <c r="G14">
        <v>60</v>
      </c>
      <c r="H14">
        <v>8.3000000000000001E-3</v>
      </c>
      <c r="K14" s="4"/>
    </row>
    <row r="15" spans="1:11" x14ac:dyDescent="0.3">
      <c r="A15" s="3" t="s">
        <v>20</v>
      </c>
      <c r="B15">
        <v>0</v>
      </c>
      <c r="C15">
        <v>0</v>
      </c>
      <c r="E15">
        <v>0</v>
      </c>
      <c r="F15">
        <v>0.04</v>
      </c>
      <c r="G15">
        <v>40</v>
      </c>
      <c r="H15">
        <v>0</v>
      </c>
      <c r="K15" s="4"/>
    </row>
    <row r="16" spans="1:11" x14ac:dyDescent="0.3">
      <c r="A16" s="3" t="s">
        <v>7</v>
      </c>
      <c r="B16">
        <v>814</v>
      </c>
      <c r="C16">
        <v>23</v>
      </c>
      <c r="E16">
        <v>2</v>
      </c>
      <c r="F16">
        <v>0.04</v>
      </c>
      <c r="G16">
        <v>25</v>
      </c>
      <c r="H16">
        <v>0</v>
      </c>
      <c r="K16" s="4"/>
    </row>
    <row r="17" spans="1:11" x14ac:dyDescent="0.3">
      <c r="A17" s="3" t="s">
        <v>8</v>
      </c>
      <c r="B17">
        <v>1015</v>
      </c>
      <c r="C17">
        <v>47</v>
      </c>
      <c r="E17">
        <v>3</v>
      </c>
      <c r="F17">
        <v>0.04</v>
      </c>
      <c r="G17">
        <v>25</v>
      </c>
      <c r="H17">
        <v>0</v>
      </c>
      <c r="K17" s="4"/>
    </row>
    <row r="18" spans="1:11" x14ac:dyDescent="0.3">
      <c r="A18" s="3" t="s">
        <v>12</v>
      </c>
      <c r="B18">
        <v>1241</v>
      </c>
      <c r="C18">
        <v>51</v>
      </c>
      <c r="E18">
        <v>3</v>
      </c>
      <c r="F18">
        <v>0.04</v>
      </c>
      <c r="G18">
        <v>25</v>
      </c>
      <c r="H18">
        <v>0</v>
      </c>
      <c r="K18" s="4"/>
    </row>
    <row r="19" spans="1:11" x14ac:dyDescent="0.3">
      <c r="A19" s="3" t="s">
        <v>5</v>
      </c>
      <c r="B19">
        <v>2500</v>
      </c>
      <c r="C19">
        <v>74</v>
      </c>
      <c r="E19">
        <v>7</v>
      </c>
      <c r="F19">
        <v>0.04</v>
      </c>
      <c r="G19">
        <v>70</v>
      </c>
      <c r="H19">
        <v>0</v>
      </c>
      <c r="K19" s="4"/>
    </row>
    <row r="20" spans="1:11" x14ac:dyDescent="0.3">
      <c r="A20" s="9" t="s">
        <v>9</v>
      </c>
      <c r="B20">
        <v>2500</v>
      </c>
      <c r="C20">
        <v>74</v>
      </c>
      <c r="D20">
        <v>85</v>
      </c>
      <c r="E20">
        <v>7</v>
      </c>
      <c r="F20">
        <v>0.04</v>
      </c>
      <c r="G20">
        <v>70</v>
      </c>
      <c r="H20">
        <v>0</v>
      </c>
      <c r="K20" s="4"/>
    </row>
    <row r="21" spans="1:11" x14ac:dyDescent="0.3">
      <c r="A21" s="9" t="s">
        <v>14</v>
      </c>
      <c r="B21">
        <v>0</v>
      </c>
      <c r="C21">
        <v>14</v>
      </c>
      <c r="D21">
        <v>297</v>
      </c>
      <c r="E21">
        <v>0.25</v>
      </c>
      <c r="F21">
        <v>0.04</v>
      </c>
      <c r="G21">
        <v>20</v>
      </c>
      <c r="H21">
        <v>0</v>
      </c>
      <c r="K21" s="4"/>
    </row>
    <row r="22" spans="1:11" x14ac:dyDescent="0.3">
      <c r="A22" s="9" t="s">
        <v>28</v>
      </c>
      <c r="B22">
        <v>0</v>
      </c>
      <c r="C22">
        <v>16</v>
      </c>
      <c r="D22">
        <v>244</v>
      </c>
      <c r="E22">
        <v>0.25</v>
      </c>
      <c r="F22">
        <v>0.04</v>
      </c>
      <c r="G22">
        <v>20</v>
      </c>
      <c r="H22">
        <v>0</v>
      </c>
      <c r="K22" s="4"/>
    </row>
    <row r="23" spans="1:11" x14ac:dyDescent="0.3">
      <c r="A23" s="9" t="s">
        <v>15</v>
      </c>
      <c r="B23">
        <v>0</v>
      </c>
      <c r="C23">
        <v>24</v>
      </c>
      <c r="D23">
        <v>224</v>
      </c>
      <c r="E23">
        <v>0.25</v>
      </c>
      <c r="F23">
        <v>0.04</v>
      </c>
      <c r="G23">
        <v>20</v>
      </c>
      <c r="H23">
        <v>0</v>
      </c>
      <c r="K23" s="4"/>
    </row>
    <row r="24" spans="1:11" x14ac:dyDescent="0.3">
      <c r="A24" s="9" t="s">
        <v>29</v>
      </c>
      <c r="B24">
        <v>0</v>
      </c>
      <c r="C24">
        <v>40</v>
      </c>
      <c r="D24">
        <v>210</v>
      </c>
      <c r="E24">
        <v>0.25</v>
      </c>
      <c r="F24">
        <v>0.04</v>
      </c>
      <c r="G24">
        <v>20</v>
      </c>
      <c r="H24">
        <v>0</v>
      </c>
      <c r="K24" s="4"/>
    </row>
    <row r="25" spans="1:11" x14ac:dyDescent="0.3">
      <c r="A25" s="6" t="s">
        <v>13</v>
      </c>
      <c r="B25">
        <v>2875</v>
      </c>
      <c r="C25">
        <v>117.875</v>
      </c>
      <c r="E25">
        <v>2</v>
      </c>
      <c r="F25">
        <v>0.04</v>
      </c>
      <c r="G25">
        <v>20</v>
      </c>
      <c r="H25">
        <v>3.875E-3</v>
      </c>
      <c r="K25" s="4"/>
    </row>
    <row r="26" spans="1:11" x14ac:dyDescent="0.3">
      <c r="A26" s="6" t="s">
        <v>18</v>
      </c>
      <c r="B26">
        <v>3468.75</v>
      </c>
      <c r="C26">
        <v>312.1875</v>
      </c>
      <c r="E26">
        <v>2</v>
      </c>
      <c r="F26">
        <v>0.04</v>
      </c>
      <c r="G26">
        <v>20</v>
      </c>
      <c r="H26">
        <v>4.4400000000000002E-2</v>
      </c>
      <c r="K26" s="4"/>
    </row>
    <row r="27" spans="1:11" x14ac:dyDescent="0.3">
      <c r="A27" s="6" t="s">
        <v>98</v>
      </c>
      <c r="B27">
        <v>0</v>
      </c>
      <c r="C27">
        <v>0</v>
      </c>
      <c r="E27">
        <v>0</v>
      </c>
      <c r="F27">
        <v>0.04</v>
      </c>
      <c r="G27">
        <v>1</v>
      </c>
      <c r="H27">
        <v>0.17499999999999999</v>
      </c>
      <c r="K27" s="4"/>
    </row>
    <row r="28" spans="1:11" x14ac:dyDescent="0.3">
      <c r="A28" s="6" t="s">
        <v>532</v>
      </c>
      <c r="B28">
        <v>0</v>
      </c>
      <c r="C28">
        <v>0</v>
      </c>
      <c r="E28">
        <v>0</v>
      </c>
      <c r="F28">
        <v>0.04</v>
      </c>
      <c r="G28">
        <v>1</v>
      </c>
      <c r="H28">
        <v>0.2</v>
      </c>
      <c r="K28" s="4"/>
    </row>
    <row r="29" spans="1:11" x14ac:dyDescent="0.3">
      <c r="A29" s="6" t="s">
        <v>19</v>
      </c>
      <c r="B29">
        <v>0</v>
      </c>
      <c r="C29">
        <v>0</v>
      </c>
      <c r="E29">
        <v>0</v>
      </c>
      <c r="F29">
        <v>0.04</v>
      </c>
      <c r="G29">
        <v>1</v>
      </c>
      <c r="H29">
        <v>0</v>
      </c>
      <c r="K29" s="4"/>
    </row>
    <row r="30" spans="1:11" x14ac:dyDescent="0.3">
      <c r="A30" s="6" t="s">
        <v>10</v>
      </c>
      <c r="B30">
        <f>500/0.67*1.15</f>
        <v>858.20895522388059</v>
      </c>
      <c r="C30">
        <v>15</v>
      </c>
      <c r="E30">
        <v>2</v>
      </c>
      <c r="F30">
        <v>0.04</v>
      </c>
      <c r="G30">
        <v>20</v>
      </c>
      <c r="H30">
        <v>0</v>
      </c>
      <c r="K30" s="4"/>
    </row>
    <row r="31" spans="1:11" x14ac:dyDescent="0.3">
      <c r="A31" s="6" t="s">
        <v>17</v>
      </c>
      <c r="B31">
        <v>1609.5</v>
      </c>
      <c r="C31">
        <v>97.125</v>
      </c>
      <c r="E31">
        <v>2</v>
      </c>
      <c r="F31">
        <v>0.04</v>
      </c>
      <c r="G31">
        <v>20</v>
      </c>
      <c r="H31">
        <v>0</v>
      </c>
      <c r="K31" s="4"/>
    </row>
    <row r="32" spans="1:11" x14ac:dyDescent="0.3">
      <c r="A32" s="7" t="s">
        <v>11</v>
      </c>
      <c r="B32">
        <v>0</v>
      </c>
      <c r="C32">
        <v>2.5</v>
      </c>
      <c r="D32">
        <v>0.35</v>
      </c>
      <c r="E32">
        <v>3</v>
      </c>
      <c r="F32">
        <v>0.04</v>
      </c>
      <c r="G32">
        <v>40</v>
      </c>
      <c r="H32">
        <v>6.2500000000000003E-3</v>
      </c>
      <c r="K32" s="4"/>
    </row>
    <row r="33" spans="1:11" x14ac:dyDescent="0.3">
      <c r="A33" s="7" t="s">
        <v>16</v>
      </c>
      <c r="B33">
        <v>0</v>
      </c>
      <c r="C33">
        <v>0</v>
      </c>
      <c r="D33">
        <v>0</v>
      </c>
      <c r="E33">
        <v>0</v>
      </c>
      <c r="F33">
        <v>0.04</v>
      </c>
      <c r="G33">
        <v>30</v>
      </c>
      <c r="H33">
        <v>2.5000000000000001E-3</v>
      </c>
      <c r="K33" s="4"/>
    </row>
    <row r="34" spans="1:11" x14ac:dyDescent="0.3">
      <c r="A34" s="8" t="s">
        <v>26</v>
      </c>
      <c r="B34">
        <v>10000</v>
      </c>
      <c r="C34">
        <v>1250</v>
      </c>
      <c r="D34">
        <v>1000</v>
      </c>
      <c r="E34">
        <v>10</v>
      </c>
      <c r="F34">
        <v>0.04</v>
      </c>
      <c r="G34">
        <v>10</v>
      </c>
      <c r="H34">
        <v>1.25</v>
      </c>
      <c r="K34" s="4"/>
    </row>
    <row r="35" spans="1:11" x14ac:dyDescent="0.3">
      <c r="A35" s="8" t="s">
        <v>27</v>
      </c>
      <c r="B35">
        <v>10000</v>
      </c>
      <c r="C35">
        <v>1250</v>
      </c>
      <c r="E35">
        <v>10</v>
      </c>
      <c r="F35">
        <v>0.04</v>
      </c>
      <c r="G35">
        <v>10</v>
      </c>
      <c r="H35">
        <v>1.25</v>
      </c>
      <c r="K35" s="4"/>
    </row>
    <row r="36" spans="1:11" x14ac:dyDescent="0.3">
      <c r="A36" s="1" t="s">
        <v>540</v>
      </c>
      <c r="B36">
        <v>0</v>
      </c>
      <c r="C36">
        <v>0</v>
      </c>
      <c r="E36">
        <v>0</v>
      </c>
      <c r="F36">
        <v>0.04</v>
      </c>
      <c r="G36">
        <v>1</v>
      </c>
      <c r="H36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CDD1-B809-4675-A2DA-DDD1EBAD6EF2}">
  <sheetPr>
    <tabColor theme="9" tint="-0.499984740745262"/>
  </sheetPr>
  <dimension ref="A1:C3"/>
  <sheetViews>
    <sheetView workbookViewId="0">
      <selection activeCell="E4" sqref="E4"/>
    </sheetView>
  </sheetViews>
  <sheetFormatPr baseColWidth="10" defaultRowHeight="14.4" x14ac:dyDescent="0.3"/>
  <cols>
    <col min="2" max="2" width="16.109375" customWidth="1"/>
    <col min="3" max="3" width="17.44140625" customWidth="1"/>
  </cols>
  <sheetData>
    <row r="1" spans="1:3" x14ac:dyDescent="0.3">
      <c r="A1" t="s">
        <v>87</v>
      </c>
      <c r="B1" t="s">
        <v>88</v>
      </c>
      <c r="C1" t="s">
        <v>89</v>
      </c>
    </row>
    <row r="2" spans="1:3" x14ac:dyDescent="0.3">
      <c r="A2" t="s">
        <v>20</v>
      </c>
      <c r="B2">
        <v>6.6E-3</v>
      </c>
      <c r="C2">
        <v>1.5800000000000002E-2</v>
      </c>
    </row>
    <row r="3" spans="1:3" x14ac:dyDescent="0.3">
      <c r="A3" t="s">
        <v>19</v>
      </c>
      <c r="B3">
        <v>2.0299999999999999E-2</v>
      </c>
      <c r="C3">
        <v>2.3300000000000001E-2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6E00-EC67-43DB-8009-44C6C19F8EFA}">
  <sheetPr>
    <tabColor theme="7" tint="0.39997558519241921"/>
  </sheetPr>
  <dimension ref="A1:K36"/>
  <sheetViews>
    <sheetView zoomScale="75" workbookViewId="0">
      <selection activeCell="G13" sqref="G13"/>
    </sheetView>
  </sheetViews>
  <sheetFormatPr baseColWidth="10" defaultRowHeight="14.4" x14ac:dyDescent="0.3"/>
  <cols>
    <col min="1" max="1" width="19.109375" style="1" customWidth="1"/>
    <col min="2" max="2" width="17.77734375" customWidth="1"/>
    <col min="3" max="4" width="17" customWidth="1"/>
    <col min="7" max="7" width="20.109375" customWidth="1"/>
    <col min="8" max="8" width="20.5546875" customWidth="1"/>
    <col min="9" max="9" width="22.109375" customWidth="1"/>
    <col min="11" max="11" width="17.21875" customWidth="1"/>
  </cols>
  <sheetData>
    <row r="1" spans="1:11" x14ac:dyDescent="0.3">
      <c r="A1" s="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82</v>
      </c>
      <c r="H1" t="s">
        <v>83</v>
      </c>
      <c r="I1" t="s">
        <v>84</v>
      </c>
      <c r="J1" t="s">
        <v>85</v>
      </c>
      <c r="K1" t="s">
        <v>100</v>
      </c>
    </row>
    <row r="2" spans="1:11" x14ac:dyDescent="0.3">
      <c r="A2" s="2" t="s">
        <v>1</v>
      </c>
      <c r="B2">
        <v>3.2000000000000001E-2</v>
      </c>
      <c r="D2">
        <v>7.0000000000000001E-3</v>
      </c>
      <c r="K2">
        <v>0.39</v>
      </c>
    </row>
    <row r="3" spans="1:11" x14ac:dyDescent="0.3">
      <c r="A3" s="2" t="s">
        <v>2</v>
      </c>
      <c r="B3">
        <v>3.2000000000000001E-2</v>
      </c>
      <c r="D3">
        <v>7.0000000000000001E-3</v>
      </c>
      <c r="K3">
        <v>0.37</v>
      </c>
    </row>
    <row r="4" spans="1:11" x14ac:dyDescent="0.3">
      <c r="A4" s="2" t="s">
        <v>3</v>
      </c>
      <c r="B4">
        <v>3.2000000000000001E-2</v>
      </c>
      <c r="D4">
        <v>1.2999999999999999E-2</v>
      </c>
      <c r="K4">
        <v>0.28999999999999998</v>
      </c>
    </row>
    <row r="5" spans="1:11" x14ac:dyDescent="0.3">
      <c r="A5" s="2" t="s">
        <v>61</v>
      </c>
      <c r="B5">
        <v>1.4E-2</v>
      </c>
      <c r="D5">
        <v>1.4E-2</v>
      </c>
      <c r="K5">
        <v>0.14000000000000001</v>
      </c>
    </row>
    <row r="6" spans="1:11" x14ac:dyDescent="0.3">
      <c r="A6" s="2" t="s">
        <v>62</v>
      </c>
      <c r="B6">
        <v>1.4E-2</v>
      </c>
      <c r="D6">
        <v>1.4E-2</v>
      </c>
      <c r="K6">
        <v>0.12</v>
      </c>
    </row>
    <row r="7" spans="1:11" x14ac:dyDescent="0.3">
      <c r="A7" s="2" t="s">
        <v>63</v>
      </c>
      <c r="B7">
        <v>1.4E-2</v>
      </c>
      <c r="D7">
        <v>1.4E-2</v>
      </c>
      <c r="K7">
        <v>0.13</v>
      </c>
    </row>
    <row r="8" spans="1:11" x14ac:dyDescent="0.3">
      <c r="A8" s="2" t="s">
        <v>4</v>
      </c>
      <c r="B8">
        <v>0</v>
      </c>
      <c r="D8">
        <v>6.0000000000000001E-3</v>
      </c>
      <c r="K8">
        <v>0.3</v>
      </c>
    </row>
    <row r="9" spans="1:11" x14ac:dyDescent="0.3">
      <c r="A9" s="2" t="s">
        <v>21</v>
      </c>
      <c r="B9">
        <v>0</v>
      </c>
      <c r="D9">
        <v>0</v>
      </c>
      <c r="K9">
        <v>0.45</v>
      </c>
    </row>
    <row r="10" spans="1:11" x14ac:dyDescent="0.3">
      <c r="A10" s="2" t="s">
        <v>22</v>
      </c>
      <c r="B10">
        <v>0</v>
      </c>
      <c r="D10">
        <v>0</v>
      </c>
      <c r="K10">
        <v>0.17299999999999999</v>
      </c>
    </row>
    <row r="11" spans="1:11" x14ac:dyDescent="0.3">
      <c r="A11" s="2" t="s">
        <v>23</v>
      </c>
      <c r="B11">
        <v>0</v>
      </c>
      <c r="D11">
        <v>0</v>
      </c>
      <c r="K11">
        <v>0.4</v>
      </c>
    </row>
    <row r="12" spans="1:11" x14ac:dyDescent="0.3">
      <c r="A12" s="2" t="s">
        <v>24</v>
      </c>
      <c r="B12">
        <v>0</v>
      </c>
      <c r="D12">
        <v>0</v>
      </c>
      <c r="K12">
        <v>0.79900000000000004</v>
      </c>
    </row>
    <row r="13" spans="1:11" x14ac:dyDescent="0.3">
      <c r="A13" s="2" t="s">
        <v>25</v>
      </c>
      <c r="B13">
        <v>0</v>
      </c>
      <c r="D13">
        <v>9.8000000000000004E-2</v>
      </c>
      <c r="G13">
        <v>0.4</v>
      </c>
      <c r="K13">
        <v>0.13</v>
      </c>
    </row>
    <row r="14" spans="1:11" x14ac:dyDescent="0.3">
      <c r="A14" s="3" t="s">
        <v>6</v>
      </c>
      <c r="D14">
        <v>6.0000000000000001E-3</v>
      </c>
      <c r="J14">
        <v>0.5</v>
      </c>
      <c r="K14" s="29">
        <v>0.7</v>
      </c>
    </row>
    <row r="15" spans="1:11" x14ac:dyDescent="0.3">
      <c r="A15" s="3" t="s">
        <v>20</v>
      </c>
      <c r="C15">
        <v>0.85499999999999998</v>
      </c>
      <c r="D15">
        <v>1.1000000000000001</v>
      </c>
      <c r="J15">
        <v>1.84</v>
      </c>
    </row>
    <row r="16" spans="1:11" x14ac:dyDescent="0.3">
      <c r="A16" s="3" t="s">
        <v>7</v>
      </c>
      <c r="D16">
        <v>8.1000000000000003E-2</v>
      </c>
      <c r="G16">
        <v>0.4</v>
      </c>
      <c r="J16">
        <v>8.18</v>
      </c>
    </row>
    <row r="17" spans="1:10" x14ac:dyDescent="0.3">
      <c r="A17" s="3" t="s">
        <v>8</v>
      </c>
      <c r="D17">
        <v>0.12</v>
      </c>
      <c r="G17">
        <v>0.6</v>
      </c>
      <c r="J17">
        <v>3.44</v>
      </c>
    </row>
    <row r="18" spans="1:10" x14ac:dyDescent="0.3">
      <c r="A18" s="3" t="s">
        <v>12</v>
      </c>
      <c r="D18">
        <v>3.5000000000000003E-2</v>
      </c>
      <c r="G18">
        <v>0.6</v>
      </c>
      <c r="J18">
        <v>3.44</v>
      </c>
    </row>
    <row r="19" spans="1:10" x14ac:dyDescent="0.3">
      <c r="A19" s="3" t="s">
        <v>5</v>
      </c>
      <c r="D19">
        <v>6.0000000000000001E-3</v>
      </c>
      <c r="I19">
        <v>0.85</v>
      </c>
    </row>
    <row r="20" spans="1:10" x14ac:dyDescent="0.3">
      <c r="A20" s="9" t="s">
        <v>9</v>
      </c>
      <c r="D20">
        <v>6.0000000000000001E-3</v>
      </c>
      <c r="H20">
        <v>0.9</v>
      </c>
      <c r="I20">
        <v>0.85</v>
      </c>
    </row>
    <row r="21" spans="1:10" x14ac:dyDescent="0.3">
      <c r="A21" s="9" t="s">
        <v>14</v>
      </c>
      <c r="D21">
        <v>5.8000000000000003E-2</v>
      </c>
      <c r="H21">
        <v>1</v>
      </c>
      <c r="I21">
        <v>0.9</v>
      </c>
    </row>
    <row r="22" spans="1:10" x14ac:dyDescent="0.3">
      <c r="A22" s="9" t="s">
        <v>28</v>
      </c>
      <c r="D22">
        <v>5.8000000000000003E-2</v>
      </c>
      <c r="H22">
        <v>1</v>
      </c>
      <c r="I22">
        <v>0.9</v>
      </c>
    </row>
    <row r="23" spans="1:10" x14ac:dyDescent="0.3">
      <c r="A23" s="9" t="s">
        <v>15</v>
      </c>
      <c r="D23">
        <v>5.8000000000000003E-2</v>
      </c>
      <c r="H23">
        <v>1</v>
      </c>
      <c r="I23">
        <v>0.9</v>
      </c>
    </row>
    <row r="24" spans="1:10" x14ac:dyDescent="0.3">
      <c r="A24" s="9" t="s">
        <v>29</v>
      </c>
      <c r="D24">
        <v>5.8000000000000003E-2</v>
      </c>
      <c r="H24">
        <v>1</v>
      </c>
      <c r="I24">
        <v>0.9</v>
      </c>
    </row>
    <row r="25" spans="1:10" x14ac:dyDescent="0.3">
      <c r="A25" s="6" t="s">
        <v>13</v>
      </c>
      <c r="E25">
        <v>0.42</v>
      </c>
      <c r="F25">
        <v>0.51400000000000001</v>
      </c>
    </row>
    <row r="26" spans="1:10" x14ac:dyDescent="0.3">
      <c r="A26" s="6" t="s">
        <v>18</v>
      </c>
      <c r="E26">
        <v>0.34</v>
      </c>
      <c r="F26">
        <v>0.67600000000000005</v>
      </c>
    </row>
    <row r="27" spans="1:10" x14ac:dyDescent="0.3">
      <c r="A27" s="6" t="s">
        <v>98</v>
      </c>
    </row>
    <row r="28" spans="1:10" x14ac:dyDescent="0.3">
      <c r="A28" s="6" t="s">
        <v>532</v>
      </c>
    </row>
    <row r="29" spans="1:10" x14ac:dyDescent="0.3">
      <c r="A29" s="6" t="s">
        <v>19</v>
      </c>
      <c r="C29">
        <v>0.21360000000000001</v>
      </c>
      <c r="D29">
        <v>0.21360000000000001</v>
      </c>
    </row>
    <row r="30" spans="1:10" x14ac:dyDescent="0.3">
      <c r="A30" s="6" t="s">
        <v>10</v>
      </c>
      <c r="D30">
        <v>5.0000000000000001E-3</v>
      </c>
      <c r="G30" s="28" cm="1">
        <f t="array" ref="G30">INDEX(Data_EOLES!$J$1:$EK$191,MATCH(G$1&amp;"_"&amp;$A30,Data_EOLES!$C:$C,0),MATCH(year_simulated,VALUE(Data_EOLES!$J$1:$EK$1),0))</f>
        <v>0.67827000000000004</v>
      </c>
    </row>
    <row r="31" spans="1:10" x14ac:dyDescent="0.3">
      <c r="A31" s="6" t="s">
        <v>17</v>
      </c>
      <c r="G31" s="28" cm="1">
        <f t="array" ref="G31">INDEX(Data_EOLES!$J$1:$EK$191,MATCH(G$1&amp;"_"&amp;$A31,Data_EOLES!$C:$C,0),MATCH(year_simulated,VALUE(Data_EOLES!$J$1:$EK$1),0))*G30</f>
        <v>0.56183138910000008</v>
      </c>
    </row>
    <row r="32" spans="1:10" x14ac:dyDescent="0.3">
      <c r="A32" s="7" t="s">
        <v>11</v>
      </c>
      <c r="D32">
        <v>0</v>
      </c>
      <c r="H32">
        <v>1</v>
      </c>
      <c r="I32">
        <v>1</v>
      </c>
    </row>
    <row r="33" spans="1:9" x14ac:dyDescent="0.3">
      <c r="A33" s="7" t="s">
        <v>16</v>
      </c>
      <c r="D33">
        <v>0</v>
      </c>
      <c r="H33">
        <v>1</v>
      </c>
      <c r="I33">
        <v>1</v>
      </c>
    </row>
    <row r="34" spans="1:9" x14ac:dyDescent="0.3">
      <c r="A34" s="8" t="s">
        <v>26</v>
      </c>
      <c r="D34">
        <v>0</v>
      </c>
      <c r="H34">
        <v>1</v>
      </c>
      <c r="I34">
        <v>1</v>
      </c>
    </row>
    <row r="35" spans="1:9" x14ac:dyDescent="0.3">
      <c r="A35" s="8" t="s">
        <v>27</v>
      </c>
      <c r="D35">
        <v>0</v>
      </c>
    </row>
    <row r="36" spans="1:9" x14ac:dyDescent="0.3">
      <c r="A36" t="s">
        <v>540</v>
      </c>
      <c r="D3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5304-D558-408F-9719-70AC37B10970}">
  <sheetPr>
    <tabColor rgb="FF7030A0"/>
  </sheetPr>
  <dimension ref="A1:C3"/>
  <sheetViews>
    <sheetView workbookViewId="0"/>
  </sheetViews>
  <sheetFormatPr baseColWidth="10" defaultRowHeight="14.4" x14ac:dyDescent="0.3"/>
  <cols>
    <col min="2" max="2" width="23.5546875" customWidth="1"/>
    <col min="3" max="3" width="23" customWidth="1"/>
  </cols>
  <sheetData>
    <row r="1" spans="1:3" x14ac:dyDescent="0.3">
      <c r="A1" t="s">
        <v>71</v>
      </c>
      <c r="B1" s="11" t="s">
        <v>74</v>
      </c>
      <c r="C1" s="11" t="s">
        <v>75</v>
      </c>
    </row>
    <row r="2" spans="1:3" x14ac:dyDescent="0.3">
      <c r="A2" s="10" t="s">
        <v>72</v>
      </c>
      <c r="B2">
        <v>7.8E-2</v>
      </c>
      <c r="C2">
        <v>8.3300000000000006E-3</v>
      </c>
    </row>
    <row r="3" spans="1:3" x14ac:dyDescent="0.3">
      <c r="A3" s="10" t="s">
        <v>73</v>
      </c>
      <c r="B3">
        <v>0.182</v>
      </c>
      <c r="C3">
        <v>8.3299999999999999E-2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35C3-7CE7-44DA-9439-43AF45FFDD73}">
  <sheetPr>
    <tabColor theme="5" tint="0.59999389629810485"/>
  </sheetPr>
  <dimension ref="A1:K36"/>
  <sheetViews>
    <sheetView zoomScale="68" workbookViewId="0">
      <selection activeCell="O24" sqref="O24"/>
    </sheetView>
  </sheetViews>
  <sheetFormatPr baseColWidth="10" defaultRowHeight="14.4" x14ac:dyDescent="0.3"/>
  <cols>
    <col min="1" max="1" width="22.21875" customWidth="1"/>
  </cols>
  <sheetData>
    <row r="1" spans="1:11" x14ac:dyDescent="0.3">
      <c r="A1" s="1" t="s">
        <v>0</v>
      </c>
      <c r="B1" t="s">
        <v>64</v>
      </c>
      <c r="C1" t="s">
        <v>66</v>
      </c>
      <c r="D1" t="s">
        <v>67</v>
      </c>
      <c r="E1" t="s">
        <v>68</v>
      </c>
      <c r="F1" t="s">
        <v>65</v>
      </c>
      <c r="G1" t="s">
        <v>69</v>
      </c>
      <c r="H1" t="s">
        <v>70</v>
      </c>
      <c r="I1" t="s">
        <v>537</v>
      </c>
      <c r="J1" t="s">
        <v>539</v>
      </c>
      <c r="K1" t="s">
        <v>538</v>
      </c>
    </row>
    <row r="2" spans="1:11" x14ac:dyDescent="0.3">
      <c r="A2" s="2" t="s">
        <v>1</v>
      </c>
    </row>
    <row r="3" spans="1:11" x14ac:dyDescent="0.3">
      <c r="A3" s="2" t="s">
        <v>2</v>
      </c>
    </row>
    <row r="4" spans="1:11" x14ac:dyDescent="0.3">
      <c r="A4" s="2" t="s">
        <v>3</v>
      </c>
    </row>
    <row r="5" spans="1:11" x14ac:dyDescent="0.3">
      <c r="A5" s="2" t="s">
        <v>61</v>
      </c>
    </row>
    <row r="6" spans="1:11" x14ac:dyDescent="0.3">
      <c r="A6" s="2" t="s">
        <v>62</v>
      </c>
    </row>
    <row r="7" spans="1:11" x14ac:dyDescent="0.3">
      <c r="A7" s="2" t="s">
        <v>63</v>
      </c>
    </row>
    <row r="8" spans="1:11" x14ac:dyDescent="0.3">
      <c r="A8" s="2" t="s">
        <v>4</v>
      </c>
      <c r="B8" s="37" cm="1">
        <f t="array" ref="B8">INDEX(Data_EOLES!$J$1:$EK$191,MATCH("max_cap"&amp;"_"&amp;$A8,Data_EOLES!$C:$C,0),MATCH(year_simulated,VALUE(Data_EOLES!$J$1:$EK$1),0))</f>
        <v>7.6</v>
      </c>
      <c r="C8">
        <f>4.5</f>
        <v>4.5</v>
      </c>
      <c r="D8">
        <f>13</f>
        <v>13</v>
      </c>
      <c r="E8">
        <f>8.2</f>
        <v>8.1999999999999993</v>
      </c>
      <c r="F8">
        <f>3.9</f>
        <v>3.9</v>
      </c>
      <c r="G8">
        <f>0.1</f>
        <v>0.1</v>
      </c>
      <c r="H8">
        <f>2.2</f>
        <v>2.2000000000000002</v>
      </c>
      <c r="I8">
        <f>0.04</f>
        <v>0.04</v>
      </c>
      <c r="J8">
        <f>0.2</f>
        <v>0.2</v>
      </c>
      <c r="K8">
        <f>0.8</f>
        <v>0.8</v>
      </c>
    </row>
    <row r="9" spans="1:11" x14ac:dyDescent="0.3">
      <c r="A9" s="2" t="s">
        <v>21</v>
      </c>
      <c r="B9">
        <v>0.25</v>
      </c>
      <c r="C9">
        <f>3.7</f>
        <v>3.7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  <c r="I9">
        <f>0</f>
        <v>0</v>
      </c>
      <c r="J9">
        <f>0</f>
        <v>0</v>
      </c>
      <c r="K9">
        <f>0</f>
        <v>0</v>
      </c>
    </row>
    <row r="10" spans="1:11" x14ac:dyDescent="0.3">
      <c r="A10" s="2" t="s">
        <v>22</v>
      </c>
    </row>
    <row r="11" spans="1:11" x14ac:dyDescent="0.3">
      <c r="A11" s="2" t="s">
        <v>23</v>
      </c>
    </row>
    <row r="12" spans="1:11" x14ac:dyDescent="0.3">
      <c r="A12" s="2" t="s">
        <v>24</v>
      </c>
    </row>
    <row r="13" spans="1:11" x14ac:dyDescent="0.3">
      <c r="A13" s="2" t="s">
        <v>25</v>
      </c>
    </row>
    <row r="14" spans="1:11" x14ac:dyDescent="0.3">
      <c r="A14" s="3" t="s">
        <v>6</v>
      </c>
      <c r="B14" cm="1">
        <f t="array" ref="B14">INDEX(Data_EOLES!$J$1:$EK$191,MATCH("annual_production"&amp;"_"&amp;$A14,Data_EOLES!$C:$C,0),MATCH(year_simulated,VALUE(Data_EOLES!$J$1:$EK$1),0))/INDEX(tech_parameters!$A$1:$CA$301, MATCH($A14,tech_parameters!$A$1:$A$301,0), MATCH("capacity_factor",tech_parameters!$A$1:$CA$1,0))/8.76</f>
        <v>2.0957142857142861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s="3" t="s">
        <v>20</v>
      </c>
    </row>
    <row r="16" spans="1:11" x14ac:dyDescent="0.3">
      <c r="A16" s="3" t="s">
        <v>7</v>
      </c>
    </row>
    <row r="17" spans="1:11" x14ac:dyDescent="0.3">
      <c r="A17" s="3" t="s">
        <v>8</v>
      </c>
    </row>
    <row r="18" spans="1:11" x14ac:dyDescent="0.3">
      <c r="A18" s="3" t="s">
        <v>12</v>
      </c>
    </row>
    <row r="19" spans="1:11" x14ac:dyDescent="0.3">
      <c r="A19" s="3" t="s">
        <v>5</v>
      </c>
      <c r="B19" s="37" cm="1">
        <f t="array" ref="B19">INDEX(Data_EOLES!$J$1:$EK$191,MATCH("max_cap"&amp;"_"&amp;$A19,Data_EOLES!$C:$C,0),MATCH(year_simulated,VALUE(Data_EOLES!$J$1:$EK$1),0))</f>
        <v>13.03119</v>
      </c>
      <c r="C19">
        <f>11.7</f>
        <v>11.7</v>
      </c>
      <c r="D19">
        <f>9</f>
        <v>9</v>
      </c>
      <c r="E19">
        <f>7.9</f>
        <v>7.9</v>
      </c>
      <c r="F19">
        <f>0.4</f>
        <v>0.4</v>
      </c>
      <c r="G19">
        <f>0</f>
        <v>0</v>
      </c>
      <c r="H19">
        <f>0</f>
        <v>0</v>
      </c>
      <c r="I19">
        <f>0</f>
        <v>0</v>
      </c>
      <c r="J19">
        <f>0</f>
        <v>0</v>
      </c>
      <c r="K19">
        <f>2.8</f>
        <v>2.8</v>
      </c>
    </row>
    <row r="20" spans="1:11" x14ac:dyDescent="0.3">
      <c r="A20" s="9" t="s">
        <v>9</v>
      </c>
      <c r="B20">
        <v>5.0599999999999996</v>
      </c>
      <c r="C20">
        <v>6.4</v>
      </c>
      <c r="D20">
        <v>7.22</v>
      </c>
      <c r="E20">
        <v>3.12</v>
      </c>
      <c r="F20">
        <v>6.5</v>
      </c>
      <c r="G20">
        <v>1.3</v>
      </c>
      <c r="H20">
        <v>2.8</v>
      </c>
      <c r="I20">
        <v>0</v>
      </c>
      <c r="J20">
        <v>0</v>
      </c>
      <c r="K20">
        <v>4.7</v>
      </c>
    </row>
    <row r="21" spans="1:11" x14ac:dyDescent="0.3">
      <c r="A21" s="9" t="s">
        <v>14</v>
      </c>
    </row>
    <row r="22" spans="1:11" x14ac:dyDescent="0.3">
      <c r="A22" s="9" t="s">
        <v>28</v>
      </c>
    </row>
    <row r="23" spans="1:11" x14ac:dyDescent="0.3">
      <c r="A23" s="9" t="s">
        <v>15</v>
      </c>
    </row>
    <row r="24" spans="1:11" x14ac:dyDescent="0.3">
      <c r="A24" s="9" t="s">
        <v>29</v>
      </c>
    </row>
    <row r="25" spans="1:11" x14ac:dyDescent="0.3">
      <c r="A25" s="6" t="s">
        <v>13</v>
      </c>
    </row>
    <row r="26" spans="1:11" x14ac:dyDescent="0.3">
      <c r="A26" s="6" t="s">
        <v>18</v>
      </c>
    </row>
    <row r="27" spans="1:11" x14ac:dyDescent="0.3">
      <c r="A27" s="6" t="s">
        <v>98</v>
      </c>
    </row>
    <row r="28" spans="1:11" x14ac:dyDescent="0.3">
      <c r="A28" s="6" t="s">
        <v>532</v>
      </c>
    </row>
    <row r="29" spans="1:11" x14ac:dyDescent="0.3">
      <c r="A29" s="6" t="s">
        <v>19</v>
      </c>
    </row>
    <row r="30" spans="1:11" x14ac:dyDescent="0.3">
      <c r="A30" s="6" t="s">
        <v>10</v>
      </c>
    </row>
    <row r="31" spans="1:11" x14ac:dyDescent="0.3">
      <c r="A31" s="6" t="s">
        <v>17</v>
      </c>
    </row>
    <row r="32" spans="1:11" x14ac:dyDescent="0.3">
      <c r="A32" s="7" t="s">
        <v>11</v>
      </c>
    </row>
    <row r="33" spans="1:1" x14ac:dyDescent="0.3">
      <c r="A33" s="7" t="s">
        <v>16</v>
      </c>
    </row>
    <row r="34" spans="1:1" x14ac:dyDescent="0.3">
      <c r="A34" s="8" t="s">
        <v>26</v>
      </c>
    </row>
    <row r="35" spans="1:1" x14ac:dyDescent="0.3">
      <c r="A35" s="8" t="s">
        <v>27</v>
      </c>
    </row>
    <row r="36" spans="1:1" x14ac:dyDescent="0.3">
      <c r="A36" t="s">
        <v>540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522C-70DE-4429-B23C-BF6AE28AA1BA}">
  <sheetPr>
    <tabColor theme="5" tint="0.59999389629810485"/>
  </sheetPr>
  <dimension ref="A1:K36"/>
  <sheetViews>
    <sheetView zoomScale="81" workbookViewId="0">
      <selection activeCell="K19" sqref="K19"/>
    </sheetView>
  </sheetViews>
  <sheetFormatPr baseColWidth="10" defaultRowHeight="14.4" x14ac:dyDescent="0.3"/>
  <cols>
    <col min="1" max="1" width="19.21875" customWidth="1"/>
  </cols>
  <sheetData>
    <row r="1" spans="1:11" x14ac:dyDescent="0.3">
      <c r="A1" s="1" t="s">
        <v>0</v>
      </c>
      <c r="B1" t="s">
        <v>64</v>
      </c>
      <c r="C1" t="s">
        <v>66</v>
      </c>
      <c r="D1" t="s">
        <v>67</v>
      </c>
      <c r="E1" t="s">
        <v>68</v>
      </c>
      <c r="F1" t="s">
        <v>65</v>
      </c>
      <c r="G1" t="s">
        <v>69</v>
      </c>
      <c r="H1" t="s">
        <v>70</v>
      </c>
      <c r="I1" t="s">
        <v>537</v>
      </c>
      <c r="J1" t="s">
        <v>539</v>
      </c>
      <c r="K1" t="s">
        <v>538</v>
      </c>
    </row>
    <row r="2" spans="1:11" x14ac:dyDescent="0.3">
      <c r="A2" s="2" t="s">
        <v>1</v>
      </c>
    </row>
    <row r="3" spans="1:11" x14ac:dyDescent="0.3">
      <c r="A3" s="2" t="s">
        <v>2</v>
      </c>
    </row>
    <row r="4" spans="1:11" x14ac:dyDescent="0.3">
      <c r="A4" s="2" t="s">
        <v>3</v>
      </c>
    </row>
    <row r="5" spans="1:11" x14ac:dyDescent="0.3">
      <c r="A5" s="2" t="s">
        <v>61</v>
      </c>
    </row>
    <row r="6" spans="1:11" x14ac:dyDescent="0.3">
      <c r="A6" s="2" t="s">
        <v>62</v>
      </c>
    </row>
    <row r="7" spans="1:11" x14ac:dyDescent="0.3">
      <c r="A7" s="2" t="s">
        <v>63</v>
      </c>
    </row>
    <row r="8" spans="1:11" x14ac:dyDescent="0.3">
      <c r="A8" s="2" t="s">
        <v>4</v>
      </c>
    </row>
    <row r="9" spans="1:11" x14ac:dyDescent="0.3">
      <c r="A9" s="2" t="s">
        <v>21</v>
      </c>
    </row>
    <row r="10" spans="1:11" x14ac:dyDescent="0.3">
      <c r="A10" s="2" t="s">
        <v>22</v>
      </c>
    </row>
    <row r="11" spans="1:11" x14ac:dyDescent="0.3">
      <c r="A11" s="2" t="s">
        <v>23</v>
      </c>
    </row>
    <row r="12" spans="1:11" x14ac:dyDescent="0.3">
      <c r="A12" s="2" t="s">
        <v>24</v>
      </c>
    </row>
    <row r="13" spans="1:11" x14ac:dyDescent="0.3">
      <c r="A13" s="2" t="s">
        <v>25</v>
      </c>
    </row>
    <row r="14" spans="1:11" x14ac:dyDescent="0.3">
      <c r="A14" s="3" t="s">
        <v>6</v>
      </c>
    </row>
    <row r="15" spans="1:11" x14ac:dyDescent="0.3">
      <c r="A15" s="3" t="s">
        <v>20</v>
      </c>
    </row>
    <row r="16" spans="1:11" x14ac:dyDescent="0.3">
      <c r="A16" s="3" t="s">
        <v>7</v>
      </c>
    </row>
    <row r="17" spans="1:11" x14ac:dyDescent="0.3">
      <c r="A17" s="3" t="s">
        <v>8</v>
      </c>
    </row>
    <row r="18" spans="1:11" x14ac:dyDescent="0.3">
      <c r="A18" s="3" t="s">
        <v>12</v>
      </c>
    </row>
    <row r="19" spans="1:11" x14ac:dyDescent="0.3">
      <c r="A19" s="3" t="s">
        <v>5</v>
      </c>
      <c r="B19">
        <v>3819.3</v>
      </c>
      <c r="C19">
        <f>100*exist_cap!C19</f>
        <v>1170</v>
      </c>
      <c r="D19">
        <f>100*exist_cap!D19</f>
        <v>900</v>
      </c>
      <c r="E19">
        <f>100*exist_cap!E19</f>
        <v>790</v>
      </c>
      <c r="F19">
        <f>100*exist_cap!F19</f>
        <v>40</v>
      </c>
      <c r="G19">
        <f>100*exist_cap!G19</f>
        <v>0</v>
      </c>
      <c r="H19">
        <f>100*exist_cap!H19</f>
        <v>0</v>
      </c>
      <c r="I19">
        <f>100*exist_cap!I19</f>
        <v>0</v>
      </c>
      <c r="J19">
        <f>100*exist_cap!J19</f>
        <v>0</v>
      </c>
      <c r="K19">
        <f>100*exist_cap!K19</f>
        <v>280</v>
      </c>
    </row>
    <row r="20" spans="1:11" x14ac:dyDescent="0.3">
      <c r="A20" s="9" t="s">
        <v>9</v>
      </c>
      <c r="B20">
        <v>101</v>
      </c>
      <c r="C20">
        <f>20*exist_cap!C20</f>
        <v>128</v>
      </c>
      <c r="D20">
        <f>20*exist_cap!D20</f>
        <v>144.4</v>
      </c>
      <c r="E20">
        <f>20*exist_cap!E20</f>
        <v>62.400000000000006</v>
      </c>
      <c r="F20">
        <f>20*exist_cap!F20</f>
        <v>130</v>
      </c>
      <c r="G20">
        <f>20*exist_cap!G20</f>
        <v>26</v>
      </c>
      <c r="H20">
        <f>20*exist_cap!H20</f>
        <v>56</v>
      </c>
      <c r="I20">
        <f>20*exist_cap!I20</f>
        <v>0</v>
      </c>
      <c r="J20">
        <f>20*exist_cap!J20</f>
        <v>0</v>
      </c>
      <c r="K20">
        <f>20*exist_cap!K20</f>
        <v>94</v>
      </c>
    </row>
    <row r="21" spans="1:11" x14ac:dyDescent="0.3">
      <c r="A21" s="9" t="s">
        <v>14</v>
      </c>
    </row>
    <row r="22" spans="1:11" x14ac:dyDescent="0.3">
      <c r="A22" s="9" t="s">
        <v>28</v>
      </c>
    </row>
    <row r="23" spans="1:11" x14ac:dyDescent="0.3">
      <c r="A23" s="9" t="s">
        <v>15</v>
      </c>
    </row>
    <row r="24" spans="1:11" x14ac:dyDescent="0.3">
      <c r="A24" s="9" t="s">
        <v>29</v>
      </c>
    </row>
    <row r="25" spans="1:11" x14ac:dyDescent="0.3">
      <c r="A25" s="6" t="s">
        <v>13</v>
      </c>
    </row>
    <row r="26" spans="1:11" x14ac:dyDescent="0.3">
      <c r="A26" s="6" t="s">
        <v>18</v>
      </c>
    </row>
    <row r="27" spans="1:11" x14ac:dyDescent="0.3">
      <c r="A27" s="6" t="s">
        <v>98</v>
      </c>
    </row>
    <row r="28" spans="1:11" x14ac:dyDescent="0.3">
      <c r="A28" s="6" t="s">
        <v>532</v>
      </c>
    </row>
    <row r="29" spans="1:11" x14ac:dyDescent="0.3">
      <c r="A29" s="6" t="s">
        <v>19</v>
      </c>
    </row>
    <row r="30" spans="1:11" x14ac:dyDescent="0.3">
      <c r="A30" s="6" t="s">
        <v>10</v>
      </c>
    </row>
    <row r="31" spans="1:11" x14ac:dyDescent="0.3">
      <c r="A31" s="6" t="s">
        <v>17</v>
      </c>
    </row>
    <row r="32" spans="1:11" x14ac:dyDescent="0.3">
      <c r="A32" s="7" t="s">
        <v>11</v>
      </c>
    </row>
    <row r="33" spans="1:1" x14ac:dyDescent="0.3">
      <c r="A33" s="7" t="s">
        <v>16</v>
      </c>
    </row>
    <row r="34" spans="1:1" x14ac:dyDescent="0.3">
      <c r="A34" s="8" t="s">
        <v>26</v>
      </c>
    </row>
    <row r="35" spans="1:1" x14ac:dyDescent="0.3">
      <c r="A35" s="8" t="s">
        <v>27</v>
      </c>
    </row>
    <row r="36" spans="1:1" x14ac:dyDescent="0.3">
      <c r="A36" t="s">
        <v>540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7166-BEF2-4971-9772-DA8CD1F1D6FD}">
  <sheetPr>
    <tabColor theme="5" tint="0.59999389629810485"/>
  </sheetPr>
  <dimension ref="A1:K36"/>
  <sheetViews>
    <sheetView tabSelected="1" zoomScale="79" workbookViewId="0">
      <selection activeCell="N13" sqref="N13"/>
    </sheetView>
  </sheetViews>
  <sheetFormatPr baseColWidth="10" defaultRowHeight="14.4" x14ac:dyDescent="0.3"/>
  <cols>
    <col min="1" max="1" width="20.77734375" customWidth="1"/>
  </cols>
  <sheetData>
    <row r="1" spans="1:11" x14ac:dyDescent="0.3">
      <c r="A1" s="1" t="s">
        <v>0</v>
      </c>
      <c r="B1" t="s">
        <v>64</v>
      </c>
      <c r="C1" t="s">
        <v>66</v>
      </c>
      <c r="D1" t="s">
        <v>67</v>
      </c>
      <c r="E1" t="s">
        <v>68</v>
      </c>
      <c r="F1" t="s">
        <v>65</v>
      </c>
      <c r="G1" t="s">
        <v>69</v>
      </c>
      <c r="H1" t="s">
        <v>70</v>
      </c>
      <c r="I1" t="s">
        <v>537</v>
      </c>
      <c r="J1" t="s">
        <v>539</v>
      </c>
      <c r="K1" t="s">
        <v>538</v>
      </c>
    </row>
    <row r="2" spans="1:11" x14ac:dyDescent="0.3">
      <c r="A2" s="2" t="s">
        <v>1</v>
      </c>
      <c r="B2" s="37">
        <f>max_cap!B2</f>
        <v>29.298100000000002</v>
      </c>
      <c r="C2">
        <f>max_cap!C2</f>
        <v>6.7</v>
      </c>
      <c r="D2">
        <f>max_cap!D2</f>
        <v>8.6</v>
      </c>
      <c r="E2">
        <f>max_cap!E2</f>
        <v>0</v>
      </c>
      <c r="F2">
        <f>max_cap!F2</f>
        <v>40.4</v>
      </c>
      <c r="G2">
        <f>max_cap!G2</f>
        <v>5</v>
      </c>
      <c r="H2">
        <f>max_cap!H2</f>
        <v>54.6</v>
      </c>
      <c r="I2">
        <f>max_cap!I2</f>
        <v>37.200000000000003</v>
      </c>
      <c r="J2">
        <f>max_cap!J2</f>
        <v>16.399999999999999</v>
      </c>
      <c r="K2">
        <f>max_cap!K2</f>
        <v>4.5</v>
      </c>
    </row>
    <row r="3" spans="1:11" x14ac:dyDescent="0.3">
      <c r="A3" s="2" t="s">
        <v>2</v>
      </c>
      <c r="B3" s="37">
        <f>max_cap!B3</f>
        <v>18.49108</v>
      </c>
      <c r="C3">
        <f>max_cap!C3</f>
        <v>4.0999999999999996</v>
      </c>
      <c r="D3">
        <f>max_cap!D3</f>
        <v>5.3</v>
      </c>
      <c r="E3">
        <f>max_cap!E3</f>
        <v>0</v>
      </c>
      <c r="F3">
        <f>max_cap!F3</f>
        <v>24.7</v>
      </c>
      <c r="G3">
        <f>max_cap!G3</f>
        <v>3</v>
      </c>
      <c r="H3">
        <f>max_cap!H3</f>
        <v>33.4</v>
      </c>
      <c r="I3">
        <f>max_cap!I3</f>
        <v>22.8</v>
      </c>
      <c r="J3">
        <f>max_cap!J3</f>
        <v>10</v>
      </c>
      <c r="K3">
        <f>max_cap!K3</f>
        <v>2.7</v>
      </c>
    </row>
    <row r="4" spans="1:11" x14ac:dyDescent="0.3">
      <c r="A4" s="2" t="s">
        <v>3</v>
      </c>
      <c r="B4" s="37">
        <f>max_cap!B4</f>
        <v>80.655379999999994</v>
      </c>
      <c r="C4">
        <f>max_cap!C4</f>
        <v>89.4</v>
      </c>
      <c r="D4">
        <f>max_cap!D4</f>
        <v>67.599999999999994</v>
      </c>
      <c r="E4">
        <f>max_cap!E4</f>
        <v>11.7</v>
      </c>
      <c r="F4">
        <f>max_cap!F4</f>
        <v>129.6</v>
      </c>
      <c r="G4">
        <f>max_cap!G4</f>
        <v>11.6</v>
      </c>
      <c r="H4">
        <f>max_cap!H4</f>
        <v>61.1</v>
      </c>
      <c r="I4">
        <f>max_cap!I4</f>
        <v>12</v>
      </c>
      <c r="J4">
        <f>max_cap!J4</f>
        <v>18.399999999999999</v>
      </c>
      <c r="K4">
        <f>max_cap!K4</f>
        <v>17</v>
      </c>
    </row>
    <row r="5" spans="1:11" x14ac:dyDescent="0.3">
      <c r="A5" s="2" t="s">
        <v>61</v>
      </c>
      <c r="B5" s="37">
        <f>max_cap!B5</f>
        <v>69.274829999999994</v>
      </c>
      <c r="C5">
        <f>max_cap!C5</f>
        <v>50.1</v>
      </c>
      <c r="D5" s="27">
        <f>max_cap!D5</f>
        <v>62.370000000000005</v>
      </c>
      <c r="E5">
        <f>max_cap!E5</f>
        <v>13.6</v>
      </c>
      <c r="F5">
        <f>max_cap!F5</f>
        <v>125.8</v>
      </c>
      <c r="G5">
        <f>max_cap!G5</f>
        <v>17</v>
      </c>
      <c r="H5">
        <f>max_cap!H5</f>
        <v>36.200000000000003</v>
      </c>
      <c r="I5">
        <f>max_cap!I5</f>
        <v>24.2</v>
      </c>
      <c r="J5">
        <f>max_cap!J5</f>
        <v>5.9</v>
      </c>
      <c r="K5">
        <f>max_cap!K5</f>
        <v>10.9</v>
      </c>
    </row>
    <row r="6" spans="1:11" x14ac:dyDescent="0.3">
      <c r="A6" s="2" t="s">
        <v>62</v>
      </c>
      <c r="B6" s="37">
        <f>max_cap!B6</f>
        <v>85.939499999999995</v>
      </c>
      <c r="C6">
        <f>max_cap!C6</f>
        <v>70.900000000000006</v>
      </c>
      <c r="D6" s="27">
        <f>max_cap!D6</f>
        <v>88.83</v>
      </c>
      <c r="E6">
        <f>max_cap!E6</f>
        <v>19.399999999999999</v>
      </c>
      <c r="F6">
        <f>max_cap!F6</f>
        <v>179.1</v>
      </c>
      <c r="G6">
        <f>max_cap!G6</f>
        <v>24.2</v>
      </c>
      <c r="H6">
        <f>max_cap!H6</f>
        <v>51.5</v>
      </c>
      <c r="I6">
        <f>max_cap!I6</f>
        <v>34.5</v>
      </c>
      <c r="J6">
        <f>max_cap!J6</f>
        <v>8.4</v>
      </c>
      <c r="K6">
        <f>max_cap!K6</f>
        <v>15.6</v>
      </c>
    </row>
    <row r="7" spans="1:11" x14ac:dyDescent="0.3">
      <c r="A7" s="2" t="s">
        <v>63</v>
      </c>
      <c r="B7" s="37">
        <f>max_cap!B7</f>
        <v>41.819139999999997</v>
      </c>
      <c r="C7">
        <f>max_cap!C7</f>
        <v>30.6</v>
      </c>
      <c r="D7" s="27">
        <f>max_cap!D7</f>
        <v>37.800000000000004</v>
      </c>
      <c r="E7">
        <f>max_cap!E7</f>
        <v>8.1999999999999993</v>
      </c>
      <c r="F7">
        <f>max_cap!F7</f>
        <v>76.2</v>
      </c>
      <c r="G7">
        <f>max_cap!G7</f>
        <v>10.3</v>
      </c>
      <c r="H7">
        <f>max_cap!H7</f>
        <v>21.9</v>
      </c>
      <c r="I7">
        <f>max_cap!I7</f>
        <v>14.7</v>
      </c>
      <c r="J7">
        <f>max_cap!J7</f>
        <v>3.6</v>
      </c>
      <c r="K7">
        <f>max_cap!K7</f>
        <v>6.6</v>
      </c>
    </row>
    <row r="8" spans="1:11" x14ac:dyDescent="0.3">
      <c r="A8" s="2" t="s">
        <v>4</v>
      </c>
      <c r="B8" s="37">
        <f>max_cap!B8</f>
        <v>7.6</v>
      </c>
      <c r="C8">
        <f>max_cap!C8</f>
        <v>4.5</v>
      </c>
      <c r="D8">
        <f>max_cap!D8</f>
        <v>13</v>
      </c>
      <c r="E8">
        <f>max_cap!E8</f>
        <v>8.1999999999999993</v>
      </c>
      <c r="F8">
        <f>max_cap!F8</f>
        <v>4.29</v>
      </c>
      <c r="G8">
        <f>max_cap!G8</f>
        <v>0.1</v>
      </c>
      <c r="H8">
        <f>max_cap!H8</f>
        <v>2.2000000000000002</v>
      </c>
      <c r="I8">
        <f>max_cap!I8</f>
        <v>0.04</v>
      </c>
      <c r="J8">
        <f>max_cap!J8</f>
        <v>0.2</v>
      </c>
      <c r="K8">
        <f>max_cap!K8</f>
        <v>0.8</v>
      </c>
    </row>
    <row r="9" spans="1:11" x14ac:dyDescent="0.3">
      <c r="A9" s="2" t="s">
        <v>21</v>
      </c>
      <c r="B9" s="37">
        <f>max_cap!B9</f>
        <v>1.39303</v>
      </c>
      <c r="C9">
        <f>max_cap!C9</f>
        <v>3.7</v>
      </c>
      <c r="D9">
        <f>max_cap!D9</f>
        <v>0</v>
      </c>
      <c r="E9">
        <f>max_cap!E9</f>
        <v>0</v>
      </c>
      <c r="F9">
        <f>max_cap!F9</f>
        <v>0</v>
      </c>
      <c r="G9">
        <f>max_cap!G9</f>
        <v>0</v>
      </c>
      <c r="H9">
        <f>max_cap!H9</f>
        <v>0</v>
      </c>
      <c r="I9">
        <f>max_cap!I9</f>
        <v>0</v>
      </c>
      <c r="J9">
        <f>max_cap!J9</f>
        <v>0</v>
      </c>
      <c r="K9">
        <f>max_cap!K9</f>
        <v>0</v>
      </c>
    </row>
    <row r="10" spans="1:11" x14ac:dyDescent="0.3">
      <c r="A10" s="2" t="s">
        <v>22</v>
      </c>
      <c r="B10" s="37">
        <f>max_cap!B10</f>
        <v>2.8413769894686838</v>
      </c>
      <c r="C10">
        <f>max_cap!C10</f>
        <v>0.26</v>
      </c>
      <c r="D10">
        <f>max_cap!D10</f>
        <v>0.79</v>
      </c>
      <c r="E10">
        <f>max_cap!E10</f>
        <v>0</v>
      </c>
      <c r="F10">
        <f>max_cap!F10</f>
        <v>0</v>
      </c>
      <c r="G10">
        <f>max_cap!G10</f>
        <v>0.66</v>
      </c>
      <c r="H10">
        <f>max_cap!H10</f>
        <v>0</v>
      </c>
      <c r="I10">
        <f>max_cap!I10</f>
        <v>0</v>
      </c>
      <c r="J10">
        <f>max_cap!J10</f>
        <v>0</v>
      </c>
      <c r="K10">
        <f>max_cap!K10</f>
        <v>0</v>
      </c>
    </row>
    <row r="11" spans="1:11" x14ac:dyDescent="0.3">
      <c r="A11" s="2" t="s">
        <v>23</v>
      </c>
      <c r="B11" s="37">
        <f>max_cap!B11</f>
        <v>0</v>
      </c>
      <c r="C11">
        <f>max_cap!C11</f>
        <v>0.23</v>
      </c>
      <c r="D11">
        <f>max_cap!D11</f>
        <v>0.56999999999999995</v>
      </c>
      <c r="E11">
        <f>max_cap!E11</f>
        <v>0</v>
      </c>
      <c r="F11">
        <f>max_cap!F11</f>
        <v>0.4</v>
      </c>
      <c r="G11">
        <f>max_cap!G11</f>
        <v>0.37</v>
      </c>
      <c r="H11">
        <f>max_cap!H11</f>
        <v>0.26</v>
      </c>
      <c r="I11">
        <f>max_cap!I11</f>
        <v>0.15</v>
      </c>
      <c r="J11">
        <f>max_cap!J11</f>
        <v>0.03</v>
      </c>
      <c r="K11">
        <f>max_cap!K11</f>
        <v>0.46</v>
      </c>
    </row>
    <row r="12" spans="1:11" x14ac:dyDescent="0.3">
      <c r="A12" s="2" t="s">
        <v>24</v>
      </c>
      <c r="B12" s="37">
        <f>max_cap!B12</f>
        <v>0.13500000000000001</v>
      </c>
      <c r="C12">
        <f>max_cap!C12</f>
        <v>1.43</v>
      </c>
      <c r="D12">
        <f>max_cap!D12</f>
        <v>1.3</v>
      </c>
      <c r="E12">
        <f>max_cap!E12</f>
        <v>0</v>
      </c>
      <c r="F12">
        <f>max_cap!F12</f>
        <v>0.05</v>
      </c>
      <c r="G12">
        <f>max_cap!G12</f>
        <v>0</v>
      </c>
      <c r="H12">
        <f>max_cap!H12</f>
        <v>0</v>
      </c>
      <c r="I12">
        <f>max_cap!I12</f>
        <v>0</v>
      </c>
      <c r="J12">
        <f>max_cap!J12</f>
        <v>0</v>
      </c>
      <c r="K12">
        <f>max_cap!K12</f>
        <v>0</v>
      </c>
    </row>
    <row r="13" spans="1:11" x14ac:dyDescent="0.3">
      <c r="A13" s="2" t="s">
        <v>25</v>
      </c>
      <c r="B13" s="37"/>
    </row>
    <row r="14" spans="1:11" x14ac:dyDescent="0.3">
      <c r="A14" s="3" t="s">
        <v>6</v>
      </c>
      <c r="B14" s="37">
        <f>max_cap!B14</f>
        <v>2.0957142857142861</v>
      </c>
      <c r="C14">
        <f>max_cap!C14</f>
        <v>0</v>
      </c>
      <c r="D14">
        <f>max_cap!D14</f>
        <v>0</v>
      </c>
      <c r="E14">
        <f>max_cap!E14</f>
        <v>0</v>
      </c>
      <c r="F14">
        <f>max_cap!F14</f>
        <v>0</v>
      </c>
      <c r="G14">
        <f>max_cap!G14</f>
        <v>0</v>
      </c>
      <c r="H14">
        <f>max_cap!H14</f>
        <v>0</v>
      </c>
      <c r="I14">
        <f>max_cap!I14</f>
        <v>0</v>
      </c>
      <c r="J14">
        <f>max_cap!J14</f>
        <v>0</v>
      </c>
      <c r="K14">
        <f>max_cap!K14</f>
        <v>0</v>
      </c>
    </row>
    <row r="15" spans="1:11" x14ac:dyDescent="0.3">
      <c r="A15" s="3" t="s">
        <v>20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</row>
    <row r="16" spans="1:11" x14ac:dyDescent="0.3">
      <c r="A16" s="3" t="s">
        <v>7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</row>
    <row r="17" spans="1:11" x14ac:dyDescent="0.3">
      <c r="A17" s="3" t="s">
        <v>8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</row>
    <row r="18" spans="1:11" x14ac:dyDescent="0.3">
      <c r="A18" s="3" t="s">
        <v>12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spans="1:11" x14ac:dyDescent="0.3">
      <c r="A19" s="3" t="s">
        <v>5</v>
      </c>
      <c r="B19" s="37">
        <f>max_cap!B19</f>
        <v>13.03119</v>
      </c>
      <c r="C19">
        <f>max_cap!C19</f>
        <v>11.7</v>
      </c>
      <c r="D19">
        <f>max_cap!D19</f>
        <v>9</v>
      </c>
      <c r="E19">
        <f>max_cap!E19</f>
        <v>7.9</v>
      </c>
      <c r="F19">
        <f>max_cap!F19</f>
        <v>0.4</v>
      </c>
      <c r="G19">
        <f>max_cap!G19</f>
        <v>0</v>
      </c>
      <c r="H19">
        <f>max_cap!H19</f>
        <v>0</v>
      </c>
      <c r="I19">
        <f>max_cap!I19</f>
        <v>0</v>
      </c>
      <c r="J19">
        <f>max_cap!J19</f>
        <v>0</v>
      </c>
      <c r="K19">
        <f>max_cap!K19</f>
        <v>2.8</v>
      </c>
    </row>
    <row r="20" spans="1:11" x14ac:dyDescent="0.3">
      <c r="A20" s="9" t="s">
        <v>9</v>
      </c>
      <c r="B20">
        <v>5</v>
      </c>
      <c r="C20">
        <f>max_cap!C20</f>
        <v>6.4</v>
      </c>
      <c r="D20">
        <f>max_cap!D20</f>
        <v>7.22</v>
      </c>
      <c r="E20">
        <f>max_cap!E20</f>
        <v>3.12</v>
      </c>
      <c r="F20">
        <f>max_cap!F20</f>
        <v>6.5</v>
      </c>
      <c r="G20">
        <f>max_cap!G20</f>
        <v>1.3</v>
      </c>
      <c r="H20">
        <f>max_cap!H20</f>
        <v>2.8</v>
      </c>
      <c r="I20">
        <f>max_cap!I20</f>
        <v>0</v>
      </c>
      <c r="J20">
        <f>max_cap!J20</f>
        <v>0</v>
      </c>
      <c r="K20">
        <f>max_cap!K20</f>
        <v>4.7</v>
      </c>
    </row>
    <row r="21" spans="1:11" x14ac:dyDescent="0.3">
      <c r="A21" s="9" t="s">
        <v>14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</row>
    <row r="22" spans="1:11" x14ac:dyDescent="0.3">
      <c r="A22" s="9" t="s">
        <v>28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</row>
    <row r="23" spans="1:11" x14ac:dyDescent="0.3">
      <c r="A23" s="9" t="s">
        <v>15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1:11" x14ac:dyDescent="0.3">
      <c r="A24" s="9" t="s">
        <v>29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1:11" x14ac:dyDescent="0.3">
      <c r="A25" s="6" t="s">
        <v>13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spans="1:11" x14ac:dyDescent="0.3">
      <c r="A26" s="6" t="s">
        <v>18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</row>
    <row r="27" spans="1:11" x14ac:dyDescent="0.3">
      <c r="A27" s="6" t="s">
        <v>98</v>
      </c>
    </row>
    <row r="28" spans="1:11" x14ac:dyDescent="0.3">
      <c r="A28" s="6" t="s">
        <v>532</v>
      </c>
    </row>
    <row r="29" spans="1:11" x14ac:dyDescent="0.3">
      <c r="A29" s="6" t="s">
        <v>19</v>
      </c>
      <c r="B29" s="37"/>
    </row>
    <row r="30" spans="1:11" x14ac:dyDescent="0.3">
      <c r="A30" s="6" t="s">
        <v>10</v>
      </c>
    </row>
    <row r="31" spans="1:11" x14ac:dyDescent="0.3">
      <c r="A31" s="6" t="s">
        <v>17</v>
      </c>
    </row>
    <row r="32" spans="1:11" x14ac:dyDescent="0.3">
      <c r="A32" s="7" t="s">
        <v>11</v>
      </c>
    </row>
    <row r="33" spans="1:11" x14ac:dyDescent="0.3">
      <c r="A33" s="7" t="s">
        <v>16</v>
      </c>
      <c r="B33">
        <f>max_cap!B33</f>
        <v>88.417000000000002</v>
      </c>
    </row>
    <row r="34" spans="1:11" x14ac:dyDescent="0.3">
      <c r="A34" s="8" t="s">
        <v>26</v>
      </c>
      <c r="B34">
        <f>max_cap!B34</f>
        <v>0</v>
      </c>
      <c r="C34">
        <f>max_cap!C34</f>
        <v>0</v>
      </c>
      <c r="D34">
        <f>max_cap!D34</f>
        <v>0</v>
      </c>
      <c r="E34">
        <f>max_cap!E34</f>
        <v>0</v>
      </c>
      <c r="F34">
        <f>max_cap!F34</f>
        <v>0</v>
      </c>
      <c r="G34">
        <f>max_cap!G34</f>
        <v>0</v>
      </c>
      <c r="H34">
        <f>max_cap!H34</f>
        <v>0</v>
      </c>
      <c r="I34">
        <f>max_cap!I34</f>
        <v>0</v>
      </c>
      <c r="J34">
        <f>max_cap!J34</f>
        <v>0</v>
      </c>
      <c r="K34">
        <f>max_cap!K34</f>
        <v>0</v>
      </c>
    </row>
    <row r="35" spans="1:11" x14ac:dyDescent="0.3">
      <c r="A35" s="8" t="s">
        <v>27</v>
      </c>
      <c r="B35">
        <f>max_cap!B35</f>
        <v>0</v>
      </c>
      <c r="C35">
        <f>max_cap!C35</f>
        <v>0</v>
      </c>
      <c r="D35">
        <f>max_cap!D35</f>
        <v>0</v>
      </c>
      <c r="E35">
        <f>max_cap!E35</f>
        <v>0</v>
      </c>
      <c r="F35">
        <f>max_cap!F35</f>
        <v>0</v>
      </c>
      <c r="G35">
        <f>max_cap!G35</f>
        <v>0</v>
      </c>
      <c r="H35">
        <f>max_cap!H35</f>
        <v>0</v>
      </c>
      <c r="I35">
        <f>max_cap!I35</f>
        <v>0</v>
      </c>
      <c r="J35">
        <f>max_cap!J35</f>
        <v>0</v>
      </c>
      <c r="K35">
        <f>max_cap!K35</f>
        <v>0</v>
      </c>
    </row>
    <row r="36" spans="1:11" x14ac:dyDescent="0.3">
      <c r="A36" t="s">
        <v>540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87B4-814B-4755-8A5A-4920ED5715CE}">
  <sheetPr>
    <tabColor theme="5" tint="0.59999389629810485"/>
  </sheetPr>
  <dimension ref="A1:K36"/>
  <sheetViews>
    <sheetView zoomScale="76" workbookViewId="0">
      <selection activeCell="K19" sqref="K19"/>
    </sheetView>
  </sheetViews>
  <sheetFormatPr baseColWidth="10" defaultRowHeight="14.4" x14ac:dyDescent="0.3"/>
  <cols>
    <col min="1" max="1" width="19.6640625" customWidth="1"/>
  </cols>
  <sheetData>
    <row r="1" spans="1:11" x14ac:dyDescent="0.3">
      <c r="A1" s="1" t="s">
        <v>0</v>
      </c>
      <c r="B1" t="s">
        <v>64</v>
      </c>
      <c r="C1" t="s">
        <v>66</v>
      </c>
      <c r="D1" t="s">
        <v>67</v>
      </c>
      <c r="E1" t="s">
        <v>68</v>
      </c>
      <c r="F1" t="s">
        <v>65</v>
      </c>
      <c r="G1" t="s">
        <v>69</v>
      </c>
      <c r="H1" t="s">
        <v>70</v>
      </c>
      <c r="I1" t="s">
        <v>537</v>
      </c>
      <c r="J1" t="s">
        <v>539</v>
      </c>
      <c r="K1" t="s">
        <v>538</v>
      </c>
    </row>
    <row r="2" spans="1:11" x14ac:dyDescent="0.3">
      <c r="A2" s="2" t="s">
        <v>1</v>
      </c>
    </row>
    <row r="3" spans="1:11" x14ac:dyDescent="0.3">
      <c r="A3" s="2" t="s">
        <v>2</v>
      </c>
    </row>
    <row r="4" spans="1:11" x14ac:dyDescent="0.3">
      <c r="A4" s="2" t="s">
        <v>3</v>
      </c>
    </row>
    <row r="5" spans="1:11" x14ac:dyDescent="0.3">
      <c r="A5" s="2" t="s">
        <v>61</v>
      </c>
    </row>
    <row r="6" spans="1:11" x14ac:dyDescent="0.3">
      <c r="A6" s="2" t="s">
        <v>62</v>
      </c>
    </row>
    <row r="7" spans="1:11" x14ac:dyDescent="0.3">
      <c r="A7" s="2" t="s">
        <v>63</v>
      </c>
    </row>
    <row r="8" spans="1:11" x14ac:dyDescent="0.3">
      <c r="A8" s="2" t="s">
        <v>4</v>
      </c>
    </row>
    <row r="9" spans="1:11" x14ac:dyDescent="0.3">
      <c r="A9" s="2" t="s">
        <v>21</v>
      </c>
    </row>
    <row r="10" spans="1:11" x14ac:dyDescent="0.3">
      <c r="A10" s="2" t="s">
        <v>22</v>
      </c>
    </row>
    <row r="11" spans="1:11" x14ac:dyDescent="0.3">
      <c r="A11" s="2" t="s">
        <v>23</v>
      </c>
    </row>
    <row r="12" spans="1:11" x14ac:dyDescent="0.3">
      <c r="A12" s="2" t="s">
        <v>24</v>
      </c>
    </row>
    <row r="13" spans="1:11" x14ac:dyDescent="0.3">
      <c r="A13" s="2" t="s">
        <v>25</v>
      </c>
    </row>
    <row r="14" spans="1:11" x14ac:dyDescent="0.3">
      <c r="A14" s="3" t="s">
        <v>6</v>
      </c>
    </row>
    <row r="15" spans="1:11" x14ac:dyDescent="0.3">
      <c r="A15" s="3" t="s">
        <v>20</v>
      </c>
    </row>
    <row r="16" spans="1:11" x14ac:dyDescent="0.3">
      <c r="A16" s="3" t="s">
        <v>7</v>
      </c>
    </row>
    <row r="17" spans="1:11" x14ac:dyDescent="0.3">
      <c r="A17" s="3" t="s">
        <v>8</v>
      </c>
    </row>
    <row r="18" spans="1:11" x14ac:dyDescent="0.3">
      <c r="A18" s="3" t="s">
        <v>12</v>
      </c>
    </row>
    <row r="19" spans="1:11" x14ac:dyDescent="0.3">
      <c r="A19" s="3" t="s">
        <v>5</v>
      </c>
      <c r="B19">
        <v>3819.3</v>
      </c>
      <c r="C19">
        <f>100*exist_cap!C19</f>
        <v>1170</v>
      </c>
      <c r="D19">
        <f>100*exist_cap!D19</f>
        <v>900</v>
      </c>
      <c r="E19">
        <f>100*exist_cap!E19</f>
        <v>790</v>
      </c>
      <c r="F19">
        <f>100*exist_cap!F19</f>
        <v>40</v>
      </c>
      <c r="G19">
        <f>100*exist_cap!G19</f>
        <v>0</v>
      </c>
      <c r="H19">
        <f>100*exist_cap!H19</f>
        <v>0</v>
      </c>
      <c r="I19">
        <f>100*exist_cap!I19</f>
        <v>0</v>
      </c>
      <c r="J19">
        <f>100*exist_cap!J19</f>
        <v>0</v>
      </c>
      <c r="K19">
        <f>100*exist_cap!K19</f>
        <v>280</v>
      </c>
    </row>
    <row r="20" spans="1:11" x14ac:dyDescent="0.3">
      <c r="A20" s="9" t="s">
        <v>9</v>
      </c>
      <c r="B20">
        <f>20*min_cap!B20</f>
        <v>100</v>
      </c>
      <c r="C20">
        <f>20*exist_cap!C20</f>
        <v>128</v>
      </c>
      <c r="D20">
        <f>20*exist_cap!D20</f>
        <v>144.4</v>
      </c>
      <c r="E20">
        <f>20*exist_cap!E20</f>
        <v>62.400000000000006</v>
      </c>
      <c r="F20">
        <f>20*exist_cap!F20</f>
        <v>130</v>
      </c>
      <c r="G20">
        <f>20*exist_cap!G20</f>
        <v>26</v>
      </c>
      <c r="H20">
        <f>20*exist_cap!H20</f>
        <v>56</v>
      </c>
      <c r="I20">
        <f>20*exist_cap!I20</f>
        <v>0</v>
      </c>
      <c r="J20">
        <f>20*exist_cap!J20</f>
        <v>0</v>
      </c>
      <c r="K20">
        <f>20*exist_cap!K20</f>
        <v>94</v>
      </c>
    </row>
    <row r="21" spans="1:11" x14ac:dyDescent="0.3">
      <c r="A21" s="9" t="s">
        <v>14</v>
      </c>
    </row>
    <row r="22" spans="1:11" x14ac:dyDescent="0.3">
      <c r="A22" s="9" t="s">
        <v>28</v>
      </c>
    </row>
    <row r="23" spans="1:11" x14ac:dyDescent="0.3">
      <c r="A23" s="9" t="s">
        <v>15</v>
      </c>
    </row>
    <row r="24" spans="1:11" x14ac:dyDescent="0.3">
      <c r="A24" s="9" t="s">
        <v>29</v>
      </c>
    </row>
    <row r="25" spans="1:11" x14ac:dyDescent="0.3">
      <c r="A25" s="6" t="s">
        <v>13</v>
      </c>
    </row>
    <row r="26" spans="1:11" x14ac:dyDescent="0.3">
      <c r="A26" s="6" t="s">
        <v>18</v>
      </c>
    </row>
    <row r="27" spans="1:11" x14ac:dyDescent="0.3">
      <c r="A27" s="6" t="s">
        <v>98</v>
      </c>
    </row>
    <row r="28" spans="1:11" x14ac:dyDescent="0.3">
      <c r="A28" s="6" t="s">
        <v>532</v>
      </c>
    </row>
    <row r="29" spans="1:11" x14ac:dyDescent="0.3">
      <c r="A29" s="6" t="s">
        <v>19</v>
      </c>
    </row>
    <row r="30" spans="1:11" x14ac:dyDescent="0.3">
      <c r="A30" s="6" t="s">
        <v>10</v>
      </c>
    </row>
    <row r="31" spans="1:11" x14ac:dyDescent="0.3">
      <c r="A31" s="6" t="s">
        <v>17</v>
      </c>
    </row>
    <row r="32" spans="1:11" x14ac:dyDescent="0.3">
      <c r="A32" s="7" t="s">
        <v>11</v>
      </c>
    </row>
    <row r="33" spans="1:11" x14ac:dyDescent="0.3">
      <c r="A33" s="7" t="s">
        <v>16</v>
      </c>
      <c r="B33">
        <v>118900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s="8" t="s">
        <v>26</v>
      </c>
    </row>
    <row r="35" spans="1:11" x14ac:dyDescent="0.3">
      <c r="A35" s="8" t="s">
        <v>27</v>
      </c>
    </row>
    <row r="36" spans="1:11" x14ac:dyDescent="0.3">
      <c r="A36" t="s">
        <v>540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1FDC-5F07-44AA-A166-99B601B33D97}">
  <sheetPr>
    <tabColor theme="5" tint="0.59999389629810485"/>
  </sheetPr>
  <dimension ref="A1:H33"/>
  <sheetViews>
    <sheetView workbookViewId="0">
      <selection activeCell="K27" sqref="K27"/>
    </sheetView>
  </sheetViews>
  <sheetFormatPr baseColWidth="10" defaultRowHeight="14.4" x14ac:dyDescent="0.3"/>
  <cols>
    <col min="1" max="1" width="17.21875" customWidth="1"/>
  </cols>
  <sheetData>
    <row r="1" spans="1:8" x14ac:dyDescent="0.3">
      <c r="A1" s="1" t="s">
        <v>0</v>
      </c>
      <c r="B1" t="s">
        <v>64</v>
      </c>
      <c r="C1" t="s">
        <v>66</v>
      </c>
      <c r="D1" t="s">
        <v>67</v>
      </c>
      <c r="E1" t="s">
        <v>68</v>
      </c>
      <c r="F1" t="s">
        <v>65</v>
      </c>
      <c r="G1" t="s">
        <v>69</v>
      </c>
      <c r="H1" t="s">
        <v>70</v>
      </c>
    </row>
    <row r="2" spans="1:8" x14ac:dyDescent="0.3">
      <c r="A2" s="2" t="s">
        <v>1</v>
      </c>
    </row>
    <row r="3" spans="1:8" x14ac:dyDescent="0.3">
      <c r="A3" s="2" t="s">
        <v>2</v>
      </c>
    </row>
    <row r="4" spans="1:8" x14ac:dyDescent="0.3">
      <c r="A4" s="2" t="s">
        <v>3</v>
      </c>
    </row>
    <row r="5" spans="1:8" x14ac:dyDescent="0.3">
      <c r="A5" s="2" t="s">
        <v>61</v>
      </c>
    </row>
    <row r="6" spans="1:8" x14ac:dyDescent="0.3">
      <c r="A6" s="2" t="s">
        <v>62</v>
      </c>
    </row>
    <row r="7" spans="1:8" x14ac:dyDescent="0.3">
      <c r="A7" s="2" t="s">
        <v>63</v>
      </c>
    </row>
    <row r="8" spans="1:8" x14ac:dyDescent="0.3">
      <c r="A8" s="2" t="s">
        <v>4</v>
      </c>
      <c r="B8">
        <v>7.7</v>
      </c>
      <c r="C8">
        <v>13.7</v>
      </c>
      <c r="D8">
        <v>15.53</v>
      </c>
      <c r="E8">
        <v>13.43</v>
      </c>
      <c r="F8">
        <v>4.3</v>
      </c>
      <c r="G8">
        <v>0.1</v>
      </c>
      <c r="H8">
        <v>2.2000000000000002</v>
      </c>
    </row>
    <row r="9" spans="1:8" x14ac:dyDescent="0.3">
      <c r="A9" s="2" t="s">
        <v>21</v>
      </c>
    </row>
    <row r="10" spans="1:8" x14ac:dyDescent="0.3">
      <c r="A10" s="2" t="s">
        <v>22</v>
      </c>
    </row>
    <row r="11" spans="1:8" x14ac:dyDescent="0.3">
      <c r="A11" s="2" t="s">
        <v>23</v>
      </c>
    </row>
    <row r="12" spans="1:8" x14ac:dyDescent="0.3">
      <c r="A12" s="2" t="s">
        <v>24</v>
      </c>
    </row>
    <row r="13" spans="1:8" x14ac:dyDescent="0.3">
      <c r="A13" s="2" t="s">
        <v>25</v>
      </c>
    </row>
    <row r="14" spans="1:8" x14ac:dyDescent="0.3">
      <c r="A14" s="3" t="s">
        <v>6</v>
      </c>
    </row>
    <row r="15" spans="1:8" x14ac:dyDescent="0.3">
      <c r="A15" s="3" t="s">
        <v>20</v>
      </c>
    </row>
    <row r="16" spans="1:8" x14ac:dyDescent="0.3">
      <c r="A16" s="3" t="s">
        <v>7</v>
      </c>
    </row>
    <row r="17" spans="1:2" x14ac:dyDescent="0.3">
      <c r="A17" s="3" t="s">
        <v>8</v>
      </c>
    </row>
    <row r="18" spans="1:2" x14ac:dyDescent="0.3">
      <c r="A18" s="3" t="s">
        <v>12</v>
      </c>
    </row>
    <row r="19" spans="1:2" x14ac:dyDescent="0.3">
      <c r="A19" s="3" t="s">
        <v>5</v>
      </c>
      <c r="B19">
        <v>13.1</v>
      </c>
    </row>
    <row r="20" spans="1:2" x14ac:dyDescent="0.3">
      <c r="A20" s="9" t="s">
        <v>9</v>
      </c>
    </row>
    <row r="21" spans="1:2" x14ac:dyDescent="0.3">
      <c r="A21" s="9" t="s">
        <v>14</v>
      </c>
    </row>
    <row r="22" spans="1:2" x14ac:dyDescent="0.3">
      <c r="A22" s="9" t="s">
        <v>28</v>
      </c>
    </row>
    <row r="23" spans="1:2" x14ac:dyDescent="0.3">
      <c r="A23" s="9" t="s">
        <v>15</v>
      </c>
    </row>
    <row r="24" spans="1:2" x14ac:dyDescent="0.3">
      <c r="A24" s="9" t="s">
        <v>29</v>
      </c>
    </row>
    <row r="25" spans="1:2" x14ac:dyDescent="0.3">
      <c r="A25" s="6" t="s">
        <v>13</v>
      </c>
    </row>
    <row r="26" spans="1:2" x14ac:dyDescent="0.3">
      <c r="A26" s="6" t="s">
        <v>18</v>
      </c>
    </row>
    <row r="27" spans="1:2" x14ac:dyDescent="0.3">
      <c r="A27" s="6" t="s">
        <v>19</v>
      </c>
    </row>
    <row r="28" spans="1:2" x14ac:dyDescent="0.3">
      <c r="A28" s="6" t="s">
        <v>10</v>
      </c>
    </row>
    <row r="29" spans="1:2" x14ac:dyDescent="0.3">
      <c r="A29" s="6" t="s">
        <v>17</v>
      </c>
    </row>
    <row r="30" spans="1:2" x14ac:dyDescent="0.3">
      <c r="A30" s="7" t="s">
        <v>11</v>
      </c>
    </row>
    <row r="31" spans="1:2" x14ac:dyDescent="0.3">
      <c r="A31" s="7" t="s">
        <v>16</v>
      </c>
      <c r="B31">
        <v>88.417000000000002</v>
      </c>
    </row>
    <row r="32" spans="1:2" x14ac:dyDescent="0.3">
      <c r="A32" s="8" t="s">
        <v>26</v>
      </c>
    </row>
    <row r="33" spans="1:1" x14ac:dyDescent="0.3">
      <c r="A33" s="8" t="s">
        <v>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6218-3E59-44BA-A222-668C747273EC}">
  <sheetPr>
    <tabColor theme="5" tint="0.59999389629810485"/>
  </sheetPr>
  <dimension ref="A1:H34"/>
  <sheetViews>
    <sheetView workbookViewId="0">
      <selection activeCell="A27" sqref="A27:XFD27"/>
    </sheetView>
  </sheetViews>
  <sheetFormatPr baseColWidth="10" defaultRowHeight="14.4" x14ac:dyDescent="0.3"/>
  <cols>
    <col min="1" max="1" width="18.88671875" customWidth="1"/>
  </cols>
  <sheetData>
    <row r="1" spans="1:8" x14ac:dyDescent="0.3">
      <c r="A1" s="1" t="s">
        <v>0</v>
      </c>
      <c r="B1" t="s">
        <v>64</v>
      </c>
      <c r="C1" t="s">
        <v>66</v>
      </c>
      <c r="D1" t="s">
        <v>67</v>
      </c>
      <c r="E1" t="s">
        <v>68</v>
      </c>
      <c r="F1" t="s">
        <v>65</v>
      </c>
      <c r="G1" t="s">
        <v>69</v>
      </c>
      <c r="H1" t="s">
        <v>70</v>
      </c>
    </row>
    <row r="2" spans="1:8" x14ac:dyDescent="0.3">
      <c r="A2" s="2" t="s">
        <v>1</v>
      </c>
    </row>
    <row r="3" spans="1:8" x14ac:dyDescent="0.3">
      <c r="A3" s="2" t="s">
        <v>2</v>
      </c>
    </row>
    <row r="4" spans="1:8" x14ac:dyDescent="0.3">
      <c r="A4" s="2" t="s">
        <v>3</v>
      </c>
    </row>
    <row r="5" spans="1:8" x14ac:dyDescent="0.3">
      <c r="A5" s="2" t="s">
        <v>61</v>
      </c>
    </row>
    <row r="6" spans="1:8" x14ac:dyDescent="0.3">
      <c r="A6" s="2" t="s">
        <v>62</v>
      </c>
    </row>
    <row r="7" spans="1:8" x14ac:dyDescent="0.3">
      <c r="A7" s="2" t="s">
        <v>63</v>
      </c>
    </row>
    <row r="8" spans="1:8" x14ac:dyDescent="0.3">
      <c r="A8" s="2" t="s">
        <v>4</v>
      </c>
    </row>
    <row r="9" spans="1:8" x14ac:dyDescent="0.3">
      <c r="A9" s="2" t="s">
        <v>21</v>
      </c>
    </row>
    <row r="10" spans="1:8" x14ac:dyDescent="0.3">
      <c r="A10" s="2" t="s">
        <v>22</v>
      </c>
    </row>
    <row r="11" spans="1:8" x14ac:dyDescent="0.3">
      <c r="A11" s="2" t="s">
        <v>23</v>
      </c>
    </row>
    <row r="12" spans="1:8" x14ac:dyDescent="0.3">
      <c r="A12" s="2" t="s">
        <v>24</v>
      </c>
    </row>
    <row r="13" spans="1:8" x14ac:dyDescent="0.3">
      <c r="A13" s="2" t="s">
        <v>25</v>
      </c>
    </row>
    <row r="14" spans="1:8" x14ac:dyDescent="0.3">
      <c r="A14" s="3" t="s">
        <v>6</v>
      </c>
    </row>
    <row r="15" spans="1:8" x14ac:dyDescent="0.3">
      <c r="A15" s="3" t="s">
        <v>20</v>
      </c>
    </row>
    <row r="16" spans="1:8" x14ac:dyDescent="0.3">
      <c r="A16" s="3" t="s">
        <v>7</v>
      </c>
    </row>
    <row r="17" spans="1:2" x14ac:dyDescent="0.3">
      <c r="A17" s="3" t="s">
        <v>8</v>
      </c>
    </row>
    <row r="18" spans="1:2" x14ac:dyDescent="0.3">
      <c r="A18" s="3" t="s">
        <v>12</v>
      </c>
    </row>
    <row r="19" spans="1:2" x14ac:dyDescent="0.3">
      <c r="A19" s="3" t="s">
        <v>5</v>
      </c>
      <c r="B19">
        <v>3819.3</v>
      </c>
    </row>
    <row r="20" spans="1:2" x14ac:dyDescent="0.3">
      <c r="A20" s="9" t="s">
        <v>9</v>
      </c>
    </row>
    <row r="21" spans="1:2" x14ac:dyDescent="0.3">
      <c r="A21" s="9" t="s">
        <v>14</v>
      </c>
    </row>
    <row r="22" spans="1:2" x14ac:dyDescent="0.3">
      <c r="A22" s="9" t="s">
        <v>28</v>
      </c>
    </row>
    <row r="23" spans="1:2" x14ac:dyDescent="0.3">
      <c r="A23" s="9" t="s">
        <v>15</v>
      </c>
    </row>
    <row r="24" spans="1:2" x14ac:dyDescent="0.3">
      <c r="A24" s="9" t="s">
        <v>29</v>
      </c>
    </row>
    <row r="25" spans="1:2" x14ac:dyDescent="0.3">
      <c r="A25" s="6" t="s">
        <v>13</v>
      </c>
    </row>
    <row r="26" spans="1:2" x14ac:dyDescent="0.3">
      <c r="A26" s="6" t="s">
        <v>18</v>
      </c>
    </row>
    <row r="27" spans="1:2" x14ac:dyDescent="0.3">
      <c r="A27" s="6" t="s">
        <v>98</v>
      </c>
    </row>
    <row r="28" spans="1:2" x14ac:dyDescent="0.3">
      <c r="A28" s="6" t="s">
        <v>19</v>
      </c>
    </row>
    <row r="29" spans="1:2" x14ac:dyDescent="0.3">
      <c r="A29" s="6" t="s">
        <v>10</v>
      </c>
    </row>
    <row r="30" spans="1:2" x14ac:dyDescent="0.3">
      <c r="A30" s="6" t="s">
        <v>17</v>
      </c>
    </row>
    <row r="31" spans="1:2" x14ac:dyDescent="0.3">
      <c r="A31" s="7" t="s">
        <v>11</v>
      </c>
    </row>
    <row r="32" spans="1:2" x14ac:dyDescent="0.3">
      <c r="A32" s="7" t="s">
        <v>16</v>
      </c>
      <c r="B32">
        <v>118900</v>
      </c>
    </row>
    <row r="33" spans="1:1" x14ac:dyDescent="0.3">
      <c r="A33" s="8" t="s">
        <v>26</v>
      </c>
    </row>
    <row r="34" spans="1:1" x14ac:dyDescent="0.3">
      <c r="A34" s="8" t="s">
        <v>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7824-E6F6-43E2-A078-F8F7860BE5FD}">
  <sheetPr>
    <tabColor theme="5" tint="0.59999389629810485"/>
  </sheetPr>
  <dimension ref="A1:K5"/>
  <sheetViews>
    <sheetView zoomScale="96" workbookViewId="0">
      <selection activeCell="E10" sqref="E10"/>
    </sheetView>
  </sheetViews>
  <sheetFormatPr baseColWidth="10" defaultRowHeight="14.4" x14ac:dyDescent="0.3"/>
  <cols>
    <col min="1" max="1" width="17.44140625" customWidth="1"/>
  </cols>
  <sheetData>
    <row r="1" spans="1:11" x14ac:dyDescent="0.3">
      <c r="A1" s="1" t="s">
        <v>0</v>
      </c>
      <c r="B1" t="s">
        <v>64</v>
      </c>
      <c r="C1" t="s">
        <v>66</v>
      </c>
      <c r="D1" t="s">
        <v>67</v>
      </c>
      <c r="E1" t="s">
        <v>68</v>
      </c>
      <c r="F1" t="s">
        <v>65</v>
      </c>
      <c r="G1" t="s">
        <v>69</v>
      </c>
      <c r="H1" t="s">
        <v>70</v>
      </c>
      <c r="I1" t="s">
        <v>537</v>
      </c>
      <c r="J1" t="s">
        <v>539</v>
      </c>
      <c r="K1" t="s">
        <v>538</v>
      </c>
    </row>
    <row r="2" spans="1:11" x14ac:dyDescent="0.3">
      <c r="A2" s="6" t="s">
        <v>13</v>
      </c>
      <c r="B2" s="28" cm="1">
        <f t="array" ref="B2">INDEX(Data_EOLES!$J$1:$EK$191,MATCH("biomass_potential_"&amp;$A2,Data_EOLES!$C:$C,0),MATCH(year_simulated,VALUE(Data_EOLES!$J$1:$EK$1),0))</f>
        <v>162.51201</v>
      </c>
      <c r="C2">
        <v>56</v>
      </c>
      <c r="D2">
        <v>37</v>
      </c>
      <c r="E2">
        <v>4</v>
      </c>
      <c r="F2">
        <v>90</v>
      </c>
      <c r="G2">
        <v>8</v>
      </c>
      <c r="H2">
        <v>36</v>
      </c>
      <c r="I2">
        <v>10</v>
      </c>
      <c r="J2">
        <v>14</v>
      </c>
      <c r="K2">
        <v>5</v>
      </c>
    </row>
    <row r="3" spans="1:11" x14ac:dyDescent="0.3">
      <c r="A3" s="24" t="s">
        <v>18</v>
      </c>
      <c r="B3" s="28" cm="1">
        <f t="array" ref="B3">INDEX(Data_EOLES!$J$1:$EK$191,MATCH("biomass_potential_"&amp;$A3,Data_EOLES!$C:$C,0),MATCH(year_simulated,VALUE(Data_EOLES!$J$1:$EK$1),0))</f>
        <v>8.1163500000000006</v>
      </c>
      <c r="C3">
        <v>16</v>
      </c>
      <c r="D3">
        <v>37</v>
      </c>
      <c r="E3">
        <v>4</v>
      </c>
      <c r="F3">
        <v>25</v>
      </c>
      <c r="G3">
        <v>0</v>
      </c>
      <c r="H3">
        <v>20</v>
      </c>
      <c r="I3">
        <v>0</v>
      </c>
      <c r="J3">
        <v>2</v>
      </c>
      <c r="K3">
        <v>9</v>
      </c>
    </row>
    <row r="4" spans="1:11" x14ac:dyDescent="0.3">
      <c r="A4" s="25" t="s">
        <v>98</v>
      </c>
      <c r="B4">
        <v>0</v>
      </c>
      <c r="C4">
        <v>15</v>
      </c>
      <c r="D4">
        <v>44</v>
      </c>
      <c r="E4">
        <v>0</v>
      </c>
      <c r="F4">
        <v>1</v>
      </c>
      <c r="G4">
        <v>37</v>
      </c>
      <c r="H4">
        <v>57</v>
      </c>
      <c r="I4">
        <v>75</v>
      </c>
      <c r="J4">
        <v>0</v>
      </c>
      <c r="K4">
        <v>0</v>
      </c>
    </row>
    <row r="5" spans="1:11" x14ac:dyDescent="0.3">
      <c r="A5" s="25" t="s">
        <v>532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26FC-0807-445E-B5C2-A0494176D074}">
  <sheetPr>
    <tabColor theme="5" tint="0.59999389629810485"/>
  </sheetPr>
  <dimension ref="A1:K36"/>
  <sheetViews>
    <sheetView zoomScale="69" zoomScaleNormal="50" workbookViewId="0">
      <selection activeCell="N32" sqref="N32"/>
    </sheetView>
  </sheetViews>
  <sheetFormatPr baseColWidth="10" defaultRowHeight="14.4" x14ac:dyDescent="0.3"/>
  <cols>
    <col min="1" max="1" width="20.88671875" customWidth="1"/>
  </cols>
  <sheetData>
    <row r="1" spans="1:11" x14ac:dyDescent="0.3">
      <c r="A1" s="1" t="s">
        <v>0</v>
      </c>
      <c r="B1" t="s">
        <v>64</v>
      </c>
      <c r="C1" t="s">
        <v>66</v>
      </c>
      <c r="D1" t="s">
        <v>67</v>
      </c>
      <c r="E1" t="s">
        <v>68</v>
      </c>
      <c r="F1" t="s">
        <v>65</v>
      </c>
      <c r="G1" t="s">
        <v>69</v>
      </c>
      <c r="H1" t="s">
        <v>70</v>
      </c>
      <c r="I1" t="s">
        <v>537</v>
      </c>
      <c r="J1" t="s">
        <v>539</v>
      </c>
      <c r="K1" t="s">
        <v>538</v>
      </c>
    </row>
    <row r="2" spans="1:11" x14ac:dyDescent="0.3">
      <c r="A2" s="2" t="s">
        <v>1</v>
      </c>
      <c r="B2" s="37" cm="1">
        <f t="array" ref="B2">INDEX(Data_EOLES!$J$1:$EK$191,MATCH("max_cap"&amp;"_"&amp;$A2,Data_EOLES!$C:$C,0),MATCH(year_simulated,VALUE(Data_EOLES!$J$1:$EK$1),0))</f>
        <v>29.298100000000002</v>
      </c>
      <c r="C2">
        <f>6.7</f>
        <v>6.7</v>
      </c>
      <c r="D2">
        <f>8.6</f>
        <v>8.6</v>
      </c>
      <c r="E2">
        <f>0</f>
        <v>0</v>
      </c>
      <c r="F2">
        <f>40.4</f>
        <v>40.4</v>
      </c>
      <c r="G2">
        <f>5</f>
        <v>5</v>
      </c>
      <c r="H2">
        <f>54.6</f>
        <v>54.6</v>
      </c>
      <c r="I2">
        <f>37.2</f>
        <v>37.200000000000003</v>
      </c>
      <c r="J2">
        <f>16.4</f>
        <v>16.399999999999999</v>
      </c>
      <c r="K2">
        <f>4.5</f>
        <v>4.5</v>
      </c>
    </row>
    <row r="3" spans="1:11" x14ac:dyDescent="0.3">
      <c r="A3" s="2" t="s">
        <v>2</v>
      </c>
      <c r="B3" s="37" cm="1">
        <f t="array" ref="B3">INDEX(Data_EOLES!$J$1:$EK$191,MATCH("max_cap"&amp;"_"&amp;$A3,Data_EOLES!$C:$C,0),MATCH(year_simulated,VALUE(Data_EOLES!$J$1:$EK$1),0))</f>
        <v>18.49108</v>
      </c>
      <c r="C3">
        <f>4.1</f>
        <v>4.0999999999999996</v>
      </c>
      <c r="D3">
        <f>5.3</f>
        <v>5.3</v>
      </c>
      <c r="E3">
        <f>0</f>
        <v>0</v>
      </c>
      <c r="F3">
        <f>24.7</f>
        <v>24.7</v>
      </c>
      <c r="G3">
        <f>3</f>
        <v>3</v>
      </c>
      <c r="H3">
        <f>33.4</f>
        <v>33.4</v>
      </c>
      <c r="I3">
        <f>22.8</f>
        <v>22.8</v>
      </c>
      <c r="J3">
        <f>10</f>
        <v>10</v>
      </c>
      <c r="K3">
        <f>2.7</f>
        <v>2.7</v>
      </c>
    </row>
    <row r="4" spans="1:11" x14ac:dyDescent="0.3">
      <c r="A4" s="2" t="s">
        <v>3</v>
      </c>
      <c r="B4" s="37" cm="1">
        <f t="array" ref="B4">INDEX(Data_EOLES!$J$1:$EK$191,MATCH("max_cap"&amp;"_"&amp;$A4,Data_EOLES!$C:$C,0),MATCH(year_simulated,VALUE(Data_EOLES!$J$1:$EK$1),0))</f>
        <v>80.655379999999994</v>
      </c>
      <c r="C4">
        <f>89.4</f>
        <v>89.4</v>
      </c>
      <c r="D4">
        <f>67.6</f>
        <v>67.599999999999994</v>
      </c>
      <c r="E4">
        <f>11.7</f>
        <v>11.7</v>
      </c>
      <c r="F4">
        <f>129.6</f>
        <v>129.6</v>
      </c>
      <c r="G4">
        <f>11.6</f>
        <v>11.6</v>
      </c>
      <c r="H4">
        <f>61.1</f>
        <v>61.1</v>
      </c>
      <c r="I4">
        <f>12</f>
        <v>12</v>
      </c>
      <c r="J4">
        <f>18.4</f>
        <v>18.399999999999999</v>
      </c>
      <c r="K4">
        <f>17</f>
        <v>17</v>
      </c>
    </row>
    <row r="5" spans="1:11" x14ac:dyDescent="0.3">
      <c r="A5" s="2" t="s">
        <v>61</v>
      </c>
      <c r="B5" s="37" cm="1">
        <f t="array" ref="B5">INDEX(Data_EOLES!$J$1:$EK$191,MATCH("max_cap"&amp;"_"&amp;$A5,Data_EOLES!$C:$C,0),MATCH(year_simulated,VALUE(Data_EOLES!$J$1:$EK$1),0))</f>
        <v>69.274829999999994</v>
      </c>
      <c r="C5">
        <f>50.1</f>
        <v>50.1</v>
      </c>
      <c r="D5" s="27">
        <f>1.05*59.4</f>
        <v>62.370000000000005</v>
      </c>
      <c r="E5">
        <f>13.6</f>
        <v>13.6</v>
      </c>
      <c r="F5">
        <f>125.8</f>
        <v>125.8</v>
      </c>
      <c r="G5">
        <f>17</f>
        <v>17</v>
      </c>
      <c r="H5">
        <f>36.2</f>
        <v>36.200000000000003</v>
      </c>
      <c r="I5">
        <f>24.2</f>
        <v>24.2</v>
      </c>
      <c r="J5">
        <f>5.9</f>
        <v>5.9</v>
      </c>
      <c r="K5">
        <f>10.9</f>
        <v>10.9</v>
      </c>
    </row>
    <row r="6" spans="1:11" x14ac:dyDescent="0.3">
      <c r="A6" s="2" t="s">
        <v>62</v>
      </c>
      <c r="B6" s="37" cm="1">
        <f t="array" ref="B6">INDEX(Data_EOLES!$J$1:$EK$191,MATCH("max_cap"&amp;"_"&amp;$A6,Data_EOLES!$C:$C,0),MATCH(year_simulated,VALUE(Data_EOLES!$J$1:$EK$1),0))</f>
        <v>85.939499999999995</v>
      </c>
      <c r="C6">
        <f>70.9</f>
        <v>70.900000000000006</v>
      </c>
      <c r="D6" s="27">
        <f>1.05*84.6</f>
        <v>88.83</v>
      </c>
      <c r="E6">
        <f>19.4</f>
        <v>19.399999999999999</v>
      </c>
      <c r="F6">
        <f>179.1</f>
        <v>179.1</v>
      </c>
      <c r="G6">
        <f>24.2</f>
        <v>24.2</v>
      </c>
      <c r="H6">
        <f>51.5</f>
        <v>51.5</v>
      </c>
      <c r="I6">
        <f>34.5</f>
        <v>34.5</v>
      </c>
      <c r="J6">
        <f>8.4</f>
        <v>8.4</v>
      </c>
      <c r="K6">
        <f>15.6</f>
        <v>15.6</v>
      </c>
    </row>
    <row r="7" spans="1:11" x14ac:dyDescent="0.3">
      <c r="A7" s="2" t="s">
        <v>63</v>
      </c>
      <c r="B7" s="37" cm="1">
        <f t="array" ref="B7">INDEX(Data_EOLES!$J$1:$EK$191,MATCH("max_cap"&amp;"_"&amp;$A7,Data_EOLES!$C:$C,0),MATCH(year_simulated,VALUE(Data_EOLES!$J$1:$EK$1),0))</f>
        <v>41.819139999999997</v>
      </c>
      <c r="C7">
        <f>30.6</f>
        <v>30.6</v>
      </c>
      <c r="D7" s="27">
        <f>1.05*36</f>
        <v>37.800000000000004</v>
      </c>
      <c r="E7">
        <f>8.2</f>
        <v>8.1999999999999993</v>
      </c>
      <c r="F7">
        <f>76.2</f>
        <v>76.2</v>
      </c>
      <c r="G7">
        <f>10.3</f>
        <v>10.3</v>
      </c>
      <c r="H7">
        <f>21.9</f>
        <v>21.9</v>
      </c>
      <c r="I7">
        <f>14.7</f>
        <v>14.7</v>
      </c>
      <c r="J7">
        <f>3.6</f>
        <v>3.6</v>
      </c>
      <c r="K7">
        <f>6.6</f>
        <v>6.6</v>
      </c>
    </row>
    <row r="8" spans="1:11" x14ac:dyDescent="0.3">
      <c r="A8" s="2" t="s">
        <v>4</v>
      </c>
      <c r="B8" s="37" cm="1">
        <f t="array" ref="B8">INDEX(Data_EOLES!$J$1:$EK$191,MATCH("max_cap"&amp;"_"&amp;$A8,Data_EOLES!$C:$C,0),MATCH(year_simulated,VALUE(Data_EOLES!$J$1:$EK$1),0))</f>
        <v>7.6</v>
      </c>
      <c r="C8">
        <f>4.5</f>
        <v>4.5</v>
      </c>
      <c r="D8">
        <f>13</f>
        <v>13</v>
      </c>
      <c r="E8">
        <f>8.2</f>
        <v>8.1999999999999993</v>
      </c>
      <c r="F8">
        <f>1.1*3.9</f>
        <v>4.29</v>
      </c>
      <c r="G8">
        <f>0.1</f>
        <v>0.1</v>
      </c>
      <c r="H8">
        <f>2.2</f>
        <v>2.2000000000000002</v>
      </c>
      <c r="I8">
        <f>0.04</f>
        <v>0.04</v>
      </c>
      <c r="J8">
        <f>0.2</f>
        <v>0.2</v>
      </c>
      <c r="K8">
        <f>0.8</f>
        <v>0.8</v>
      </c>
    </row>
    <row r="9" spans="1:11" x14ac:dyDescent="0.3">
      <c r="A9" s="2" t="s">
        <v>21</v>
      </c>
      <c r="B9" s="37" cm="1">
        <f t="array" ref="B9">INDEX(Data_EOLES!$J$1:$EK$191,MATCH("max_cap"&amp;"_"&amp;$A9,Data_EOLES!$C:$C,0),MATCH(year_simulated,VALUE(Data_EOLES!$J$1:$EK$1),0))</f>
        <v>1.39303</v>
      </c>
      <c r="C9">
        <f>3.7</f>
        <v>3.7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  <c r="I9">
        <f>0</f>
        <v>0</v>
      </c>
      <c r="J9">
        <f>0</f>
        <v>0</v>
      </c>
      <c r="K9">
        <f>0</f>
        <v>0</v>
      </c>
    </row>
    <row r="10" spans="1:11" x14ac:dyDescent="0.3">
      <c r="A10" s="2" t="s">
        <v>22</v>
      </c>
      <c r="B10" s="31">
        <f>INDEX(traitement_nW_EOLES!$C:$C,MATCH("annual_production_"&amp;A10,traitement_nW_EOLES!$A:$A,0))/INDEX(tech_parameters!$A$1:$CA$301, MATCH($A10,tech_parameters!$A$1:$A$301,0), MATCH("capacity_factor",tech_parameters!$A$1:$CA$1,0))/8.76</f>
        <v>2.8413769894686838</v>
      </c>
      <c r="C10">
        <f>0.26</f>
        <v>0.26</v>
      </c>
      <c r="D10">
        <f>0.79</f>
        <v>0.79</v>
      </c>
      <c r="E10">
        <f>0</f>
        <v>0</v>
      </c>
      <c r="F10">
        <f>0</f>
        <v>0</v>
      </c>
      <c r="G10">
        <f>0.66</f>
        <v>0.66</v>
      </c>
      <c r="H10">
        <f>0</f>
        <v>0</v>
      </c>
      <c r="I10">
        <f>0</f>
        <v>0</v>
      </c>
      <c r="J10">
        <f>0</f>
        <v>0</v>
      </c>
      <c r="K10">
        <f>0</f>
        <v>0</v>
      </c>
    </row>
    <row r="11" spans="1:11" x14ac:dyDescent="0.3">
      <c r="A11" s="2" t="s">
        <v>23</v>
      </c>
      <c r="B11" s="31" cm="1">
        <f t="array" ref="B11">INDEX(Data_EOLES!$J$1:$EK$191,MATCH("annual_production"&amp;"_"&amp;$A11,Data_EOLES!$C:$C,0),MATCH(year_simulated,VALUE(Data_EOLES!$J$1:$EK$1),0))/INDEX(tech_parameters!$A$1:$CA$301, MATCH($A11,tech_parameters!$A$1:$A$301,0), MATCH("capacity_factor",tech_parameters!$A$1:$CA$1,0))/8.76</f>
        <v>0</v>
      </c>
      <c r="C11">
        <f>0.23</f>
        <v>0.23</v>
      </c>
      <c r="D11">
        <f>0.57</f>
        <v>0.56999999999999995</v>
      </c>
      <c r="E11">
        <f>0</f>
        <v>0</v>
      </c>
      <c r="F11">
        <f>0.4</f>
        <v>0.4</v>
      </c>
      <c r="G11">
        <f>0.37</f>
        <v>0.37</v>
      </c>
      <c r="H11">
        <f>0.26</f>
        <v>0.26</v>
      </c>
      <c r="I11">
        <f>0.15</f>
        <v>0.15</v>
      </c>
      <c r="J11">
        <f>0.03</f>
        <v>0.03</v>
      </c>
      <c r="K11">
        <f>0.46</f>
        <v>0.46</v>
      </c>
    </row>
    <row r="12" spans="1:11" x14ac:dyDescent="0.3">
      <c r="A12" s="2" t="s">
        <v>24</v>
      </c>
      <c r="B12" s="37" cm="1">
        <f t="array" ref="B12">INDEX(Data_EOLES!$J$1:$EK$191,MATCH("max_cap"&amp;"_"&amp;$A12,Data_EOLES!$C:$C,0),MATCH(year_simulated,VALUE(Data_EOLES!$J$1:$EK$1),0))</f>
        <v>0.13500000000000001</v>
      </c>
      <c r="C12">
        <f>1.43</f>
        <v>1.43</v>
      </c>
      <c r="D12">
        <f>1.3</f>
        <v>1.3</v>
      </c>
      <c r="E12">
        <f>0</f>
        <v>0</v>
      </c>
      <c r="F12">
        <f>0.05</f>
        <v>0.05</v>
      </c>
      <c r="G12">
        <f>0</f>
        <v>0</v>
      </c>
      <c r="H12">
        <f>0</f>
        <v>0</v>
      </c>
      <c r="I12">
        <f>0</f>
        <v>0</v>
      </c>
      <c r="J12">
        <f>0</f>
        <v>0</v>
      </c>
      <c r="K12">
        <f>0</f>
        <v>0</v>
      </c>
    </row>
    <row r="13" spans="1:11" x14ac:dyDescent="0.3">
      <c r="A13" s="2" t="s">
        <v>25</v>
      </c>
      <c r="B13" s="31">
        <f>INDEX(traitement_nW_EOLES!$C:$C,MATCH("annual_production_"&amp;A13,traitement_nW_EOLES!$A:$A,0))/INDEX(tech_parameters!$A$1:$CA$301, MATCH($A13,tech_parameters!$A$1:$A$301,0), MATCH("capacity_factor",tech_parameters!$A$1:$CA$1,0))/8.76</f>
        <v>1.9711362838075168</v>
      </c>
      <c r="C13" s="109">
        <f>0</f>
        <v>0</v>
      </c>
      <c r="D13" s="109">
        <f>9.4/8.76/0.13</f>
        <v>8.2543027748507196</v>
      </c>
      <c r="E13" s="109">
        <f>0</f>
        <v>0</v>
      </c>
      <c r="F13" s="109">
        <f>0</f>
        <v>0</v>
      </c>
      <c r="G13" s="109">
        <f>4.82</f>
        <v>4.82</v>
      </c>
      <c r="H13" s="109">
        <f>5</f>
        <v>5</v>
      </c>
      <c r="I13" s="109">
        <f>2.4/0.13/8.76</f>
        <v>2.1074815595363541</v>
      </c>
      <c r="J13" s="109">
        <f>0.3</f>
        <v>0.3</v>
      </c>
      <c r="K13" s="109">
        <f>0</f>
        <v>0</v>
      </c>
    </row>
    <row r="14" spans="1:11" x14ac:dyDescent="0.3">
      <c r="A14" s="3" t="s">
        <v>6</v>
      </c>
      <c r="B14" s="31" cm="1">
        <f t="array" ref="B14">INDEX(Data_EOLES!$J$1:$EK$191,MATCH("annual_production"&amp;"_"&amp;$A14,Data_EOLES!$C:$C,0),MATCH(year_simulated,VALUE(Data_EOLES!$J$1:$EK$1),0))/INDEX(tech_parameters!$A$1:$CA$301, MATCH($A14,tech_parameters!$A$1:$A$301,0), MATCH("capacity_factor",tech_parameters!$A$1:$CA$1,0))/8.76</f>
        <v>2.0957142857142861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  <c r="I14">
        <f>0</f>
        <v>0</v>
      </c>
      <c r="J14">
        <f>0</f>
        <v>0</v>
      </c>
      <c r="K14">
        <f>0</f>
        <v>0</v>
      </c>
    </row>
    <row r="15" spans="1:11" x14ac:dyDescent="0.3">
      <c r="A15" s="3" t="s">
        <v>20</v>
      </c>
      <c r="B15" s="109">
        <f>0</f>
        <v>0</v>
      </c>
      <c r="C15" s="109">
        <f>0</f>
        <v>0</v>
      </c>
      <c r="D15" s="109">
        <f>0</f>
        <v>0</v>
      </c>
      <c r="E15" s="109">
        <f>0</f>
        <v>0</v>
      </c>
      <c r="F15" s="109">
        <f>0</f>
        <v>0</v>
      </c>
      <c r="G15" s="109">
        <f>0</f>
        <v>0</v>
      </c>
      <c r="H15" s="109">
        <f>0</f>
        <v>0</v>
      </c>
      <c r="I15" s="109">
        <f>0</f>
        <v>0</v>
      </c>
      <c r="J15" s="109">
        <f>0</f>
        <v>0</v>
      </c>
      <c r="K15" s="109">
        <f>0</f>
        <v>0</v>
      </c>
    </row>
    <row r="16" spans="1:11" x14ac:dyDescent="0.3">
      <c r="A16" s="3" t="s">
        <v>7</v>
      </c>
      <c r="C16" s="109"/>
      <c r="D16" s="109"/>
      <c r="E16" s="109"/>
      <c r="F16" s="109"/>
      <c r="G16" s="109"/>
      <c r="H16" s="109"/>
      <c r="I16" s="109"/>
      <c r="J16" s="109"/>
      <c r="K16" s="109"/>
    </row>
    <row r="17" spans="1:11" x14ac:dyDescent="0.3">
      <c r="A17" s="3" t="s">
        <v>8</v>
      </c>
      <c r="C17" s="109"/>
      <c r="D17" s="109"/>
      <c r="E17" s="109"/>
      <c r="F17" s="109"/>
      <c r="G17" s="109"/>
      <c r="H17" s="109"/>
      <c r="I17" s="109"/>
      <c r="J17" s="109"/>
      <c r="K17" s="109"/>
    </row>
    <row r="18" spans="1:11" x14ac:dyDescent="0.3">
      <c r="A18" s="3" t="s">
        <v>12</v>
      </c>
      <c r="C18" s="109"/>
      <c r="D18" s="109"/>
      <c r="E18" s="109"/>
      <c r="F18" s="109"/>
      <c r="G18" s="109"/>
      <c r="H18" s="109"/>
      <c r="I18" s="109"/>
      <c r="J18" s="109"/>
      <c r="K18" s="109"/>
    </row>
    <row r="19" spans="1:11" x14ac:dyDescent="0.3">
      <c r="A19" s="3" t="s">
        <v>5</v>
      </c>
      <c r="B19" s="37" cm="1">
        <f t="array" ref="B19">INDEX(Data_EOLES!$J$1:$EK$191,MATCH("max_cap"&amp;"_"&amp;$A19,Data_EOLES!$C:$C,0),MATCH(year_simulated,VALUE(Data_EOLES!$J$1:$EK$1),0))</f>
        <v>13.03119</v>
      </c>
      <c r="C19">
        <f>11.7</f>
        <v>11.7</v>
      </c>
      <c r="D19">
        <f>9</f>
        <v>9</v>
      </c>
      <c r="E19">
        <f>7.9</f>
        <v>7.9</v>
      </c>
      <c r="F19">
        <f>0.4</f>
        <v>0.4</v>
      </c>
      <c r="G19">
        <f>0</f>
        <v>0</v>
      </c>
      <c r="H19">
        <f>0</f>
        <v>0</v>
      </c>
      <c r="I19">
        <f>0</f>
        <v>0</v>
      </c>
      <c r="J19">
        <f>0</f>
        <v>0</v>
      </c>
      <c r="K19">
        <f>2.8</f>
        <v>2.8</v>
      </c>
    </row>
    <row r="20" spans="1:11" x14ac:dyDescent="0.3">
      <c r="A20" s="9" t="s">
        <v>9</v>
      </c>
      <c r="B20">
        <v>7</v>
      </c>
      <c r="C20">
        <v>6.4</v>
      </c>
      <c r="D20">
        <v>7.22</v>
      </c>
      <c r="E20">
        <v>3.12</v>
      </c>
      <c r="F20">
        <v>6.5</v>
      </c>
      <c r="G20">
        <v>1.3</v>
      </c>
      <c r="H20">
        <v>2.8</v>
      </c>
      <c r="I20">
        <v>0</v>
      </c>
      <c r="J20">
        <v>0</v>
      </c>
      <c r="K20">
        <v>4.7</v>
      </c>
    </row>
    <row r="21" spans="1:11" x14ac:dyDescent="0.3">
      <c r="A21" s="9" t="s">
        <v>14</v>
      </c>
      <c r="C21" s="109"/>
      <c r="D21" s="109"/>
      <c r="E21" s="109"/>
      <c r="F21" s="109"/>
      <c r="G21" s="109"/>
      <c r="H21" s="109"/>
      <c r="I21" s="109"/>
      <c r="J21" s="109"/>
      <c r="K21" s="109"/>
    </row>
    <row r="22" spans="1:11" x14ac:dyDescent="0.3">
      <c r="A22" s="9" t="s">
        <v>28</v>
      </c>
      <c r="C22" s="109"/>
      <c r="D22" s="109"/>
      <c r="E22" s="109"/>
      <c r="F22" s="109"/>
      <c r="G22" s="109"/>
      <c r="H22" s="109"/>
      <c r="I22" s="109"/>
      <c r="J22" s="109"/>
      <c r="K22" s="109"/>
    </row>
    <row r="23" spans="1:11" x14ac:dyDescent="0.3">
      <c r="A23" s="9" t="s">
        <v>15</v>
      </c>
      <c r="C23" s="109"/>
      <c r="D23" s="109"/>
      <c r="E23" s="109"/>
      <c r="F23" s="109"/>
      <c r="G23" s="109"/>
      <c r="H23" s="109"/>
      <c r="I23" s="109"/>
      <c r="J23" s="109"/>
      <c r="K23" s="109"/>
    </row>
    <row r="24" spans="1:11" x14ac:dyDescent="0.3">
      <c r="A24" s="9" t="s">
        <v>29</v>
      </c>
      <c r="C24" s="109"/>
      <c r="D24" s="109"/>
      <c r="E24" s="109"/>
      <c r="F24" s="109"/>
      <c r="G24" s="109"/>
      <c r="H24" s="109"/>
      <c r="I24" s="109"/>
      <c r="J24" s="109"/>
      <c r="K24" s="109"/>
    </row>
    <row r="25" spans="1:11" x14ac:dyDescent="0.3">
      <c r="A25" s="6" t="s">
        <v>13</v>
      </c>
      <c r="C25" s="109"/>
      <c r="D25" s="109"/>
      <c r="E25" s="109"/>
      <c r="F25" s="109"/>
      <c r="G25" s="109"/>
      <c r="H25" s="109"/>
      <c r="I25" s="109"/>
      <c r="J25" s="109"/>
      <c r="K25" s="109"/>
    </row>
    <row r="26" spans="1:11" x14ac:dyDescent="0.3">
      <c r="A26" s="6" t="s">
        <v>18</v>
      </c>
      <c r="C26" s="109"/>
      <c r="D26" s="109"/>
      <c r="E26" s="109"/>
      <c r="F26" s="109"/>
      <c r="G26" s="109"/>
      <c r="H26" s="109"/>
      <c r="I26" s="109"/>
      <c r="J26" s="109"/>
      <c r="K26" s="109"/>
    </row>
    <row r="27" spans="1:11" x14ac:dyDescent="0.3">
      <c r="A27" s="6" t="s">
        <v>98</v>
      </c>
    </row>
    <row r="28" spans="1:11" x14ac:dyDescent="0.3">
      <c r="A28" s="6" t="s">
        <v>532</v>
      </c>
    </row>
    <row r="29" spans="1:11" x14ac:dyDescent="0.3">
      <c r="A29" s="6" t="s">
        <v>19</v>
      </c>
      <c r="B29" s="37" cm="1">
        <f t="array" ref="B29">INDEX(Data_EOLES!$J$1:$EK$191,MATCH("annual_production"&amp;"_"&amp;$A29,Data_EOLES!$C:$C,0),MATCH(year_simulated,VALUE(Data_EOLES!$J$1:$EK$1),0))</f>
        <v>0</v>
      </c>
    </row>
    <row r="30" spans="1:11" x14ac:dyDescent="0.3">
      <c r="A30" s="6" t="s">
        <v>10</v>
      </c>
    </row>
    <row r="31" spans="1:11" x14ac:dyDescent="0.3">
      <c r="A31" s="6" t="s">
        <v>17</v>
      </c>
    </row>
    <row r="32" spans="1:11" x14ac:dyDescent="0.3">
      <c r="A32" s="7" t="s">
        <v>11</v>
      </c>
    </row>
    <row r="33" spans="1:11" x14ac:dyDescent="0.3">
      <c r="A33" s="7" t="s">
        <v>16</v>
      </c>
      <c r="B33">
        <v>88.417000000000002</v>
      </c>
    </row>
    <row r="34" spans="1:11" x14ac:dyDescent="0.3">
      <c r="A34" s="8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s="8" t="s">
        <v>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E230-E598-492C-B1E9-6F29A3CB7ABA}">
  <sheetPr>
    <tabColor theme="5" tint="0.59999389629810485"/>
  </sheetPr>
  <dimension ref="A1:K36"/>
  <sheetViews>
    <sheetView zoomScale="61" workbookViewId="0">
      <selection activeCell="K19" sqref="K19"/>
    </sheetView>
  </sheetViews>
  <sheetFormatPr baseColWidth="10" defaultRowHeight="14.4" x14ac:dyDescent="0.3"/>
  <cols>
    <col min="1" max="1" width="19.109375" customWidth="1"/>
  </cols>
  <sheetData>
    <row r="1" spans="1:11" x14ac:dyDescent="0.3">
      <c r="A1" s="1" t="s">
        <v>0</v>
      </c>
      <c r="B1" t="s">
        <v>64</v>
      </c>
      <c r="C1" t="s">
        <v>66</v>
      </c>
      <c r="D1" t="s">
        <v>67</v>
      </c>
      <c r="E1" t="s">
        <v>68</v>
      </c>
      <c r="F1" t="s">
        <v>65</v>
      </c>
      <c r="G1" t="s">
        <v>69</v>
      </c>
      <c r="H1" t="s">
        <v>70</v>
      </c>
      <c r="I1" t="s">
        <v>537</v>
      </c>
      <c r="J1" t="s">
        <v>539</v>
      </c>
      <c r="K1" t="s">
        <v>538</v>
      </c>
    </row>
    <row r="2" spans="1:11" x14ac:dyDescent="0.3">
      <c r="A2" s="2" t="s">
        <v>1</v>
      </c>
    </row>
    <row r="3" spans="1:11" x14ac:dyDescent="0.3">
      <c r="A3" s="2" t="s">
        <v>2</v>
      </c>
    </row>
    <row r="4" spans="1:11" x14ac:dyDescent="0.3">
      <c r="A4" s="2" t="s">
        <v>3</v>
      </c>
    </row>
    <row r="5" spans="1:11" x14ac:dyDescent="0.3">
      <c r="A5" s="2" t="s">
        <v>61</v>
      </c>
    </row>
    <row r="6" spans="1:11" x14ac:dyDescent="0.3">
      <c r="A6" s="2" t="s">
        <v>62</v>
      </c>
    </row>
    <row r="7" spans="1:11" x14ac:dyDescent="0.3">
      <c r="A7" s="2" t="s">
        <v>63</v>
      </c>
    </row>
    <row r="8" spans="1:11" x14ac:dyDescent="0.3">
      <c r="A8" s="2" t="s">
        <v>4</v>
      </c>
    </row>
    <row r="9" spans="1:11" x14ac:dyDescent="0.3">
      <c r="A9" s="2" t="s">
        <v>21</v>
      </c>
    </row>
    <row r="10" spans="1:11" x14ac:dyDescent="0.3">
      <c r="A10" s="2" t="s">
        <v>22</v>
      </c>
    </row>
    <row r="11" spans="1:11" x14ac:dyDescent="0.3">
      <c r="A11" s="2" t="s">
        <v>23</v>
      </c>
    </row>
    <row r="12" spans="1:11" x14ac:dyDescent="0.3">
      <c r="A12" s="2" t="s">
        <v>24</v>
      </c>
    </row>
    <row r="13" spans="1:11" x14ac:dyDescent="0.3">
      <c r="A13" s="2" t="s">
        <v>25</v>
      </c>
    </row>
    <row r="14" spans="1:11" x14ac:dyDescent="0.3">
      <c r="A14" s="3" t="s">
        <v>6</v>
      </c>
    </row>
    <row r="15" spans="1:11" x14ac:dyDescent="0.3">
      <c r="A15" s="3" t="s">
        <v>20</v>
      </c>
    </row>
    <row r="16" spans="1:11" x14ac:dyDescent="0.3">
      <c r="A16" s="3" t="s">
        <v>7</v>
      </c>
    </row>
    <row r="17" spans="1:11" x14ac:dyDescent="0.3">
      <c r="A17" s="3" t="s">
        <v>8</v>
      </c>
    </row>
    <row r="18" spans="1:11" x14ac:dyDescent="0.3">
      <c r="A18" s="3" t="s">
        <v>12</v>
      </c>
    </row>
    <row r="19" spans="1:11" x14ac:dyDescent="0.3">
      <c r="A19" s="3" t="s">
        <v>5</v>
      </c>
      <c r="B19">
        <v>3819.3</v>
      </c>
      <c r="C19">
        <f>100*exist_cap!C19</f>
        <v>1170</v>
      </c>
      <c r="D19">
        <f>100*exist_cap!D19</f>
        <v>900</v>
      </c>
      <c r="E19">
        <f>100*exist_cap!E19</f>
        <v>790</v>
      </c>
      <c r="F19">
        <f>100*exist_cap!F19</f>
        <v>40</v>
      </c>
      <c r="G19">
        <f>100*exist_cap!G19</f>
        <v>0</v>
      </c>
      <c r="H19">
        <f>100*exist_cap!H19</f>
        <v>0</v>
      </c>
      <c r="I19">
        <f>100*exist_cap!I19</f>
        <v>0</v>
      </c>
      <c r="J19">
        <f>100*exist_cap!J19</f>
        <v>0</v>
      </c>
      <c r="K19">
        <f>100*exist_cap!K19</f>
        <v>280</v>
      </c>
    </row>
    <row r="20" spans="1:11" x14ac:dyDescent="0.3">
      <c r="A20" s="9" t="s">
        <v>9</v>
      </c>
      <c r="B20">
        <f>20*max_cap!B20</f>
        <v>140</v>
      </c>
      <c r="C20">
        <f>20*exist_cap!C20</f>
        <v>128</v>
      </c>
      <c r="D20">
        <f>20*exist_cap!D20</f>
        <v>144.4</v>
      </c>
      <c r="E20">
        <f>20*exist_cap!E20</f>
        <v>62.400000000000006</v>
      </c>
      <c r="F20">
        <f>20*exist_cap!F20</f>
        <v>130</v>
      </c>
      <c r="G20">
        <f>20*exist_cap!G20</f>
        <v>26</v>
      </c>
      <c r="H20">
        <f>20*exist_cap!H20</f>
        <v>56</v>
      </c>
      <c r="I20">
        <f>20*exist_cap!I20</f>
        <v>0</v>
      </c>
      <c r="J20">
        <f>20*exist_cap!J20</f>
        <v>0</v>
      </c>
      <c r="K20">
        <f>20*exist_cap!K20</f>
        <v>94</v>
      </c>
    </row>
    <row r="21" spans="1:11" x14ac:dyDescent="0.3">
      <c r="A21" s="9" t="s">
        <v>14</v>
      </c>
    </row>
    <row r="22" spans="1:11" x14ac:dyDescent="0.3">
      <c r="A22" s="9" t="s">
        <v>28</v>
      </c>
    </row>
    <row r="23" spans="1:11" x14ac:dyDescent="0.3">
      <c r="A23" s="9" t="s">
        <v>15</v>
      </c>
    </row>
    <row r="24" spans="1:11" x14ac:dyDescent="0.3">
      <c r="A24" s="9" t="s">
        <v>29</v>
      </c>
    </row>
    <row r="25" spans="1:11" x14ac:dyDescent="0.3">
      <c r="A25" s="6" t="s">
        <v>13</v>
      </c>
    </row>
    <row r="26" spans="1:11" x14ac:dyDescent="0.3">
      <c r="A26" s="6" t="s">
        <v>18</v>
      </c>
    </row>
    <row r="27" spans="1:11" x14ac:dyDescent="0.3">
      <c r="A27" s="6" t="s">
        <v>98</v>
      </c>
    </row>
    <row r="28" spans="1:11" x14ac:dyDescent="0.3">
      <c r="A28" s="6" t="s">
        <v>532</v>
      </c>
    </row>
    <row r="29" spans="1:11" x14ac:dyDescent="0.3">
      <c r="A29" s="6" t="s">
        <v>19</v>
      </c>
    </row>
    <row r="30" spans="1:11" x14ac:dyDescent="0.3">
      <c r="A30" s="6" t="s">
        <v>10</v>
      </c>
    </row>
    <row r="31" spans="1:11" x14ac:dyDescent="0.3">
      <c r="A31" s="6" t="s">
        <v>17</v>
      </c>
    </row>
    <row r="32" spans="1:11" x14ac:dyDescent="0.3">
      <c r="A32" s="7" t="s">
        <v>11</v>
      </c>
      <c r="B32">
        <v>4000</v>
      </c>
    </row>
    <row r="33" spans="1:2" x14ac:dyDescent="0.3">
      <c r="A33" s="7" t="s">
        <v>16</v>
      </c>
      <c r="B33">
        <v>118900</v>
      </c>
    </row>
    <row r="34" spans="1:2" x14ac:dyDescent="0.3">
      <c r="A34" s="8" t="s">
        <v>26</v>
      </c>
    </row>
    <row r="35" spans="1:2" x14ac:dyDescent="0.3">
      <c r="A35" s="8" t="s">
        <v>27</v>
      </c>
    </row>
    <row r="36" spans="1:2" x14ac:dyDescent="0.3">
      <c r="A36" t="s">
        <v>540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0C02-3E81-4BE5-B337-7BE715CC2691}">
  <dimension ref="A1:K11"/>
  <sheetViews>
    <sheetView workbookViewId="0">
      <selection activeCell="G21" sqref="G21"/>
    </sheetView>
  </sheetViews>
  <sheetFormatPr baseColWidth="10" defaultRowHeight="14.4" x14ac:dyDescent="0.3"/>
  <sheetData>
    <row r="1" spans="1:11" x14ac:dyDescent="0.3">
      <c r="A1" t="s">
        <v>86</v>
      </c>
      <c r="B1" t="s">
        <v>64</v>
      </c>
      <c r="C1" t="s">
        <v>69</v>
      </c>
      <c r="D1" t="s">
        <v>65</v>
      </c>
      <c r="E1" t="s">
        <v>68</v>
      </c>
      <c r="F1" t="s">
        <v>67</v>
      </c>
      <c r="G1" t="s">
        <v>66</v>
      </c>
      <c r="H1" t="s">
        <v>70</v>
      </c>
      <c r="I1" t="s">
        <v>537</v>
      </c>
      <c r="J1" t="s">
        <v>539</v>
      </c>
      <c r="K1" t="s">
        <v>538</v>
      </c>
    </row>
    <row r="2" spans="1:11" x14ac:dyDescent="0.3">
      <c r="A2" t="s">
        <v>64</v>
      </c>
      <c r="B2" s="12"/>
      <c r="D2">
        <v>12.6</v>
      </c>
      <c r="E2">
        <v>3.3</v>
      </c>
      <c r="F2">
        <v>3.1</v>
      </c>
      <c r="G2">
        <v>10.199999999999999</v>
      </c>
      <c r="H2">
        <v>9.8000000000000007</v>
      </c>
    </row>
    <row r="3" spans="1:11" x14ac:dyDescent="0.3">
      <c r="A3" t="s">
        <v>69</v>
      </c>
      <c r="C3" s="12"/>
      <c r="D3">
        <v>100</v>
      </c>
    </row>
    <row r="4" spans="1:11" x14ac:dyDescent="0.3">
      <c r="A4" t="s">
        <v>65</v>
      </c>
      <c r="B4">
        <v>11</v>
      </c>
      <c r="C4">
        <v>100</v>
      </c>
      <c r="D4" s="12"/>
      <c r="I4">
        <v>100</v>
      </c>
    </row>
    <row r="5" spans="1:11" x14ac:dyDescent="0.3">
      <c r="A5" t="s">
        <v>68</v>
      </c>
      <c r="B5">
        <v>2</v>
      </c>
      <c r="E5" s="12"/>
    </row>
    <row r="6" spans="1:11" x14ac:dyDescent="0.3">
      <c r="A6" t="s">
        <v>67</v>
      </c>
      <c r="B6">
        <v>3.1</v>
      </c>
      <c r="F6" s="12"/>
    </row>
    <row r="7" spans="1:11" x14ac:dyDescent="0.3">
      <c r="A7" t="s">
        <v>66</v>
      </c>
      <c r="B7">
        <v>9.5</v>
      </c>
      <c r="G7" s="12"/>
      <c r="K7">
        <v>100</v>
      </c>
    </row>
    <row r="8" spans="1:11" x14ac:dyDescent="0.3">
      <c r="A8" t="s">
        <v>70</v>
      </c>
      <c r="B8">
        <v>9.5</v>
      </c>
      <c r="H8" s="12"/>
      <c r="J8">
        <v>100</v>
      </c>
    </row>
    <row r="9" spans="1:11" x14ac:dyDescent="0.3">
      <c r="A9" t="s">
        <v>537</v>
      </c>
      <c r="D9">
        <v>100</v>
      </c>
      <c r="I9" s="12"/>
    </row>
    <row r="10" spans="1:11" x14ac:dyDescent="0.3">
      <c r="A10" t="s">
        <v>539</v>
      </c>
      <c r="H10">
        <v>100</v>
      </c>
      <c r="J10" s="12"/>
    </row>
    <row r="11" spans="1:11" x14ac:dyDescent="0.3">
      <c r="A11" t="s">
        <v>538</v>
      </c>
      <c r="G11">
        <v>100</v>
      </c>
      <c r="K11" s="1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3973-4111-4116-B62E-D14E07940733}">
  <dimension ref="A1:K5"/>
  <sheetViews>
    <sheetView zoomScale="78" workbookViewId="0">
      <selection activeCell="J2" sqref="J2"/>
    </sheetView>
  </sheetViews>
  <sheetFormatPr baseColWidth="10" defaultRowHeight="14.4" x14ac:dyDescent="0.3"/>
  <cols>
    <col min="1" max="1" width="14.6640625" customWidth="1"/>
  </cols>
  <sheetData>
    <row r="1" spans="1:11" x14ac:dyDescent="0.3">
      <c r="A1" s="1" t="s">
        <v>92</v>
      </c>
      <c r="B1" t="s">
        <v>64</v>
      </c>
      <c r="C1" t="s">
        <v>66</v>
      </c>
      <c r="D1" t="s">
        <v>67</v>
      </c>
      <c r="E1" t="s">
        <v>68</v>
      </c>
      <c r="F1" t="s">
        <v>65</v>
      </c>
      <c r="G1" t="s">
        <v>69</v>
      </c>
      <c r="H1" t="s">
        <v>70</v>
      </c>
      <c r="I1" t="s">
        <v>537</v>
      </c>
      <c r="J1" t="s">
        <v>539</v>
      </c>
      <c r="K1" t="s">
        <v>538</v>
      </c>
    </row>
    <row r="2" spans="1:11" x14ac:dyDescent="0.3">
      <c r="A2" t="s">
        <v>93</v>
      </c>
      <c r="B2" s="114">
        <v>139</v>
      </c>
      <c r="C2">
        <f>84</f>
        <v>84</v>
      </c>
      <c r="D2">
        <f>94+1+1+3</f>
        <v>99</v>
      </c>
      <c r="E2">
        <v>7</v>
      </c>
      <c r="F2">
        <f>102+10</f>
        <v>112</v>
      </c>
      <c r="G2">
        <f>38+3</f>
        <v>41</v>
      </c>
      <c r="H2">
        <f>79+1+7</f>
        <v>87</v>
      </c>
      <c r="I2">
        <f>72+3</f>
        <v>75</v>
      </c>
      <c r="J2">
        <f>7+1</f>
        <v>8</v>
      </c>
      <c r="K2">
        <v>12</v>
      </c>
    </row>
    <row r="3" spans="1:11" x14ac:dyDescent="0.3">
      <c r="A3" t="s">
        <v>94</v>
      </c>
      <c r="B3" s="114">
        <v>40</v>
      </c>
      <c r="C3">
        <v>58.6</v>
      </c>
      <c r="D3">
        <v>30.3</v>
      </c>
      <c r="E3">
        <v>5.5</v>
      </c>
      <c r="F3">
        <v>148.4</v>
      </c>
      <c r="G3">
        <v>25.9</v>
      </c>
      <c r="H3">
        <v>56.3</v>
      </c>
      <c r="I3">
        <v>44.4</v>
      </c>
      <c r="J3">
        <v>19.2</v>
      </c>
      <c r="K3">
        <v>7.4</v>
      </c>
    </row>
    <row r="4" spans="1:11" x14ac:dyDescent="0.3">
      <c r="A4" t="s">
        <v>95</v>
      </c>
      <c r="B4" s="114">
        <v>467</v>
      </c>
      <c r="C4">
        <f>307+27+1</f>
        <v>335</v>
      </c>
      <c r="D4">
        <f>378+28+2</f>
        <v>408</v>
      </c>
      <c r="E4">
        <v>70</v>
      </c>
      <c r="F4">
        <f>588+40+18</f>
        <v>646</v>
      </c>
      <c r="G4">
        <f>103+11</f>
        <v>114</v>
      </c>
      <c r="H4">
        <f>477+50+3</f>
        <v>530</v>
      </c>
      <c r="I4">
        <f>193+8+2</f>
        <v>203</v>
      </c>
      <c r="J4">
        <f>41+4</f>
        <v>45</v>
      </c>
      <c r="K4">
        <f>64+9</f>
        <v>73</v>
      </c>
    </row>
    <row r="5" spans="1:11" x14ac:dyDescent="0.3">
      <c r="A5" t="s">
        <v>563</v>
      </c>
      <c r="C5">
        <f>calculs_intermédiaires!F51</f>
        <v>1.6727272727272726</v>
      </c>
      <c r="D5">
        <f>calculs_intermédiaires!G51</f>
        <v>2.06</v>
      </c>
      <c r="E5">
        <f>calculs_intermédiaires!H51</f>
        <v>1.8292682926829269</v>
      </c>
      <c r="F5">
        <f>calculs_intermédiaires!I51</f>
        <v>3.253333333333333</v>
      </c>
      <c r="G5">
        <f>calculs_intermédiaires!J51</f>
        <v>1.6511627906976745</v>
      </c>
      <c r="H5">
        <f>calculs_intermédiaires!K51</f>
        <v>4.3867403314917128</v>
      </c>
      <c r="I5">
        <f>calculs_intermédiaires!L51</f>
        <v>12.0625</v>
      </c>
      <c r="J5">
        <f>calculs_intermédiaires!M51</f>
        <v>10.714285714285715</v>
      </c>
      <c r="K5">
        <f>calculs_intermédiaires!N51</f>
        <v>0.8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1E08-829F-443D-8FA9-96DA6E608EAD}">
  <dimension ref="A1:V78"/>
  <sheetViews>
    <sheetView topLeftCell="A71" zoomScale="72" workbookViewId="0">
      <selection activeCell="G56" sqref="G56"/>
    </sheetView>
  </sheetViews>
  <sheetFormatPr baseColWidth="10" defaultRowHeight="14.4" x14ac:dyDescent="0.3"/>
  <cols>
    <col min="1" max="1" width="26.88671875" customWidth="1"/>
    <col min="2" max="2" width="18.109375" customWidth="1"/>
    <col min="4" max="4" width="23.33203125" customWidth="1"/>
  </cols>
  <sheetData>
    <row r="1" spans="1:14" ht="19.8" customHeight="1" x14ac:dyDescent="0.3">
      <c r="A1" t="s">
        <v>133</v>
      </c>
      <c r="E1" t="s">
        <v>64</v>
      </c>
      <c r="F1" t="s">
        <v>66</v>
      </c>
      <c r="G1" t="s">
        <v>67</v>
      </c>
      <c r="H1" t="s">
        <v>68</v>
      </c>
      <c r="I1" t="s">
        <v>65</v>
      </c>
      <c r="J1" t="s">
        <v>69</v>
      </c>
      <c r="K1" t="s">
        <v>70</v>
      </c>
      <c r="L1" t="s">
        <v>537</v>
      </c>
      <c r="M1" t="s">
        <v>539</v>
      </c>
      <c r="N1" t="s">
        <v>538</v>
      </c>
    </row>
    <row r="2" spans="1:14" x14ac:dyDescent="0.3">
      <c r="D2" t="s">
        <v>141</v>
      </c>
      <c r="E2">
        <v>41.5</v>
      </c>
      <c r="F2">
        <v>10.8</v>
      </c>
      <c r="G2">
        <v>9.3000000000000007</v>
      </c>
      <c r="H2">
        <v>0</v>
      </c>
      <c r="I2">
        <v>70</v>
      </c>
      <c r="J2">
        <v>8</v>
      </c>
      <c r="K2">
        <v>80</v>
      </c>
      <c r="L2">
        <v>60</v>
      </c>
      <c r="M2">
        <v>22</v>
      </c>
      <c r="N2">
        <v>7.2</v>
      </c>
    </row>
    <row r="3" spans="1:14" x14ac:dyDescent="0.3">
      <c r="A3" t="s">
        <v>134</v>
      </c>
      <c r="B3" t="s">
        <v>138</v>
      </c>
      <c r="D3" t="s">
        <v>142</v>
      </c>
      <c r="E3">
        <v>153.80000000000001</v>
      </c>
      <c r="F3">
        <v>109</v>
      </c>
      <c r="G3">
        <v>180</v>
      </c>
      <c r="H3">
        <v>40</v>
      </c>
      <c r="I3">
        <v>370</v>
      </c>
      <c r="J3">
        <v>50</v>
      </c>
      <c r="K3">
        <v>90</v>
      </c>
      <c r="L3">
        <v>67.400000000000006</v>
      </c>
      <c r="M3">
        <v>16</v>
      </c>
      <c r="N3">
        <v>26.4</v>
      </c>
    </row>
    <row r="4" spans="1:14" x14ac:dyDescent="0.3">
      <c r="A4" t="s">
        <v>135</v>
      </c>
      <c r="B4" s="23">
        <v>0.33</v>
      </c>
    </row>
    <row r="5" spans="1:14" x14ac:dyDescent="0.3">
      <c r="A5" t="s">
        <v>136</v>
      </c>
      <c r="B5" s="23">
        <v>0.47</v>
      </c>
      <c r="D5" t="s">
        <v>143</v>
      </c>
      <c r="E5">
        <f>$B10*E2</f>
        <v>25.73</v>
      </c>
      <c r="F5">
        <f t="shared" ref="F5:K5" si="0">$B10*F2</f>
        <v>6.6960000000000006</v>
      </c>
      <c r="G5">
        <f t="shared" si="0"/>
        <v>5.766</v>
      </c>
      <c r="H5">
        <f t="shared" si="0"/>
        <v>0</v>
      </c>
      <c r="I5">
        <f t="shared" si="0"/>
        <v>43.4</v>
      </c>
      <c r="J5">
        <f t="shared" si="0"/>
        <v>4.96</v>
      </c>
      <c r="K5">
        <f t="shared" si="0"/>
        <v>49.6</v>
      </c>
      <c r="L5">
        <f t="shared" ref="L5:N5" si="1">$B10*L2</f>
        <v>37.200000000000003</v>
      </c>
      <c r="M5">
        <f t="shared" si="1"/>
        <v>13.64</v>
      </c>
      <c r="N5">
        <f t="shared" si="1"/>
        <v>4.4640000000000004</v>
      </c>
    </row>
    <row r="6" spans="1:14" x14ac:dyDescent="0.3">
      <c r="A6" t="s">
        <v>137</v>
      </c>
      <c r="B6" s="23">
        <v>0.2</v>
      </c>
      <c r="D6" t="s">
        <v>2</v>
      </c>
      <c r="E6">
        <f>$B9*E2</f>
        <v>15.77</v>
      </c>
      <c r="F6">
        <f t="shared" ref="F6:K6" si="2">$B9*F2</f>
        <v>4.1040000000000001</v>
      </c>
      <c r="G6">
        <f t="shared" si="2"/>
        <v>3.5340000000000003</v>
      </c>
      <c r="H6">
        <f t="shared" si="2"/>
        <v>0</v>
      </c>
      <c r="I6">
        <f t="shared" si="2"/>
        <v>26.6</v>
      </c>
      <c r="J6">
        <f t="shared" si="2"/>
        <v>3.04</v>
      </c>
      <c r="K6">
        <f t="shared" si="2"/>
        <v>30.4</v>
      </c>
      <c r="L6">
        <f t="shared" ref="L6:N6" si="3">$B9*L2</f>
        <v>22.8</v>
      </c>
      <c r="M6">
        <f t="shared" si="3"/>
        <v>8.36</v>
      </c>
      <c r="N6">
        <f t="shared" si="3"/>
        <v>2.7360000000000002</v>
      </c>
    </row>
    <row r="8" spans="1:14" x14ac:dyDescent="0.3">
      <c r="A8" t="s">
        <v>139</v>
      </c>
      <c r="B8" t="s">
        <v>138</v>
      </c>
      <c r="D8" t="s">
        <v>144</v>
      </c>
      <c r="E8">
        <f>$B4*E$3</f>
        <v>50.754000000000005</v>
      </c>
      <c r="F8">
        <f t="shared" ref="F8:K8" si="4">$B4*F$3</f>
        <v>35.97</v>
      </c>
      <c r="G8">
        <f t="shared" si="4"/>
        <v>59.400000000000006</v>
      </c>
      <c r="H8">
        <f t="shared" si="4"/>
        <v>13.200000000000001</v>
      </c>
      <c r="I8">
        <f t="shared" si="4"/>
        <v>122.10000000000001</v>
      </c>
      <c r="J8">
        <f t="shared" si="4"/>
        <v>16.5</v>
      </c>
      <c r="K8">
        <f t="shared" si="4"/>
        <v>29.700000000000003</v>
      </c>
      <c r="L8">
        <f t="shared" ref="L8:N8" si="5">$B4*L$3</f>
        <v>22.242000000000004</v>
      </c>
      <c r="M8">
        <f t="shared" si="5"/>
        <v>5.28</v>
      </c>
      <c r="N8">
        <f t="shared" si="5"/>
        <v>8.7119999999999997</v>
      </c>
    </row>
    <row r="9" spans="1:14" x14ac:dyDescent="0.3">
      <c r="A9" t="s">
        <v>135</v>
      </c>
      <c r="B9" s="23">
        <v>0.38</v>
      </c>
      <c r="D9" t="s">
        <v>145</v>
      </c>
      <c r="E9">
        <f t="shared" ref="E9:K9" si="6">$B5*E$3</f>
        <v>72.286000000000001</v>
      </c>
      <c r="F9">
        <f t="shared" si="6"/>
        <v>51.23</v>
      </c>
      <c r="G9">
        <f>$B5*G$3</f>
        <v>84.6</v>
      </c>
      <c r="H9">
        <f t="shared" si="6"/>
        <v>18.799999999999997</v>
      </c>
      <c r="I9">
        <f t="shared" si="6"/>
        <v>173.89999999999998</v>
      </c>
      <c r="J9">
        <f t="shared" si="6"/>
        <v>23.5</v>
      </c>
      <c r="K9">
        <f t="shared" si="6"/>
        <v>42.3</v>
      </c>
      <c r="L9">
        <f t="shared" ref="L9:N9" si="7">$B5*L$3</f>
        <v>31.678000000000001</v>
      </c>
      <c r="M9">
        <f t="shared" si="7"/>
        <v>7.52</v>
      </c>
      <c r="N9">
        <f t="shared" si="7"/>
        <v>12.407999999999999</v>
      </c>
    </row>
    <row r="10" spans="1:14" x14ac:dyDescent="0.3">
      <c r="A10" t="s">
        <v>140</v>
      </c>
      <c r="B10" s="23">
        <v>0.62</v>
      </c>
      <c r="D10" t="s">
        <v>146</v>
      </c>
      <c r="E10">
        <f t="shared" ref="E10:K10" si="8">$B6*E$3</f>
        <v>30.760000000000005</v>
      </c>
      <c r="F10">
        <f t="shared" si="8"/>
        <v>21.8</v>
      </c>
      <c r="G10">
        <f t="shared" si="8"/>
        <v>36</v>
      </c>
      <c r="H10">
        <f>$B6*H$3</f>
        <v>8</v>
      </c>
      <c r="I10">
        <f t="shared" si="8"/>
        <v>74</v>
      </c>
      <c r="J10">
        <f t="shared" si="8"/>
        <v>10</v>
      </c>
      <c r="K10">
        <f t="shared" si="8"/>
        <v>18</v>
      </c>
      <c r="L10">
        <f t="shared" ref="L10:N10" si="9">$B6*L$3</f>
        <v>13.480000000000002</v>
      </c>
      <c r="M10">
        <f t="shared" si="9"/>
        <v>3.2</v>
      </c>
      <c r="N10">
        <f t="shared" si="9"/>
        <v>5.28</v>
      </c>
    </row>
    <row r="12" spans="1:14" x14ac:dyDescent="0.3">
      <c r="D12" t="s">
        <v>148</v>
      </c>
      <c r="E12" t="s">
        <v>64</v>
      </c>
      <c r="F12" t="s">
        <v>66</v>
      </c>
      <c r="G12" t="s">
        <v>67</v>
      </c>
      <c r="H12" t="s">
        <v>68</v>
      </c>
      <c r="I12" t="s">
        <v>65</v>
      </c>
      <c r="J12" t="s">
        <v>69</v>
      </c>
      <c r="K12" t="s">
        <v>70</v>
      </c>
      <c r="L12" t="s">
        <v>537</v>
      </c>
      <c r="M12" t="s">
        <v>539</v>
      </c>
      <c r="N12" t="s">
        <v>538</v>
      </c>
    </row>
    <row r="13" spans="1:14" x14ac:dyDescent="0.3">
      <c r="D13" t="s">
        <v>149</v>
      </c>
      <c r="L13">
        <v>0.11</v>
      </c>
      <c r="M13">
        <v>0.1</v>
      </c>
      <c r="N13">
        <v>0.19</v>
      </c>
    </row>
    <row r="14" spans="1:14" x14ac:dyDescent="0.3">
      <c r="D14" t="s">
        <v>3</v>
      </c>
      <c r="F14">
        <v>0.32</v>
      </c>
      <c r="G14">
        <v>0.35</v>
      </c>
      <c r="H14">
        <v>0.28000000000000003</v>
      </c>
      <c r="I14">
        <v>0.27</v>
      </c>
      <c r="J14">
        <v>0.31</v>
      </c>
      <c r="K14">
        <v>0.37</v>
      </c>
      <c r="L14">
        <v>0.34</v>
      </c>
      <c r="M14">
        <v>0.45</v>
      </c>
      <c r="N14">
        <v>0.31</v>
      </c>
    </row>
    <row r="15" spans="1:14" x14ac:dyDescent="0.3">
      <c r="D15" t="s">
        <v>141</v>
      </c>
      <c r="F15">
        <v>0.3</v>
      </c>
      <c r="G15">
        <v>0.4</v>
      </c>
      <c r="I15">
        <v>0.42</v>
      </c>
      <c r="J15">
        <v>0.41</v>
      </c>
      <c r="K15">
        <v>0.49</v>
      </c>
      <c r="L15">
        <v>0.47</v>
      </c>
      <c r="M15">
        <v>0.53</v>
      </c>
      <c r="N15">
        <v>0.34</v>
      </c>
    </row>
    <row r="17" spans="1:22" x14ac:dyDescent="0.3">
      <c r="D17" t="s">
        <v>147</v>
      </c>
      <c r="E17" t="s">
        <v>64</v>
      </c>
      <c r="F17" t="s">
        <v>66</v>
      </c>
      <c r="G17" t="s">
        <v>67</v>
      </c>
      <c r="H17" t="s">
        <v>68</v>
      </c>
      <c r="I17" t="s">
        <v>65</v>
      </c>
      <c r="J17" t="s">
        <v>69</v>
      </c>
      <c r="K17" t="s">
        <v>70</v>
      </c>
      <c r="L17" t="s">
        <v>537</v>
      </c>
      <c r="M17" t="s">
        <v>539</v>
      </c>
      <c r="N17" t="s">
        <v>538</v>
      </c>
    </row>
    <row r="18" spans="1:22" x14ac:dyDescent="0.3">
      <c r="D18" t="s">
        <v>149</v>
      </c>
    </row>
    <row r="19" spans="1:22" x14ac:dyDescent="0.3">
      <c r="D19" t="s">
        <v>3</v>
      </c>
      <c r="F19">
        <v>0.25</v>
      </c>
      <c r="G19">
        <v>0.23</v>
      </c>
      <c r="H19">
        <v>0.2</v>
      </c>
      <c r="I19">
        <v>0.28999999999999998</v>
      </c>
      <c r="J19">
        <v>0.34</v>
      </c>
      <c r="K19">
        <v>0.41</v>
      </c>
      <c r="L19">
        <v>0.34</v>
      </c>
      <c r="M19">
        <v>0.44</v>
      </c>
      <c r="N19">
        <v>0.25</v>
      </c>
    </row>
    <row r="20" spans="1:22" x14ac:dyDescent="0.3">
      <c r="D20" t="s">
        <v>141</v>
      </c>
      <c r="F20">
        <v>0.28999999999999998</v>
      </c>
      <c r="G20">
        <v>0.26</v>
      </c>
      <c r="I20">
        <v>0.45</v>
      </c>
      <c r="J20">
        <v>0.42</v>
      </c>
      <c r="K20">
        <v>0.45</v>
      </c>
      <c r="L20">
        <v>0.46</v>
      </c>
      <c r="M20">
        <v>0.43</v>
      </c>
      <c r="N20">
        <v>0.38</v>
      </c>
    </row>
    <row r="22" spans="1:22" x14ac:dyDescent="0.3">
      <c r="B22" s="122" t="s">
        <v>151</v>
      </c>
      <c r="D22" t="s">
        <v>150</v>
      </c>
    </row>
    <row r="23" spans="1:22" x14ac:dyDescent="0.3">
      <c r="B23" s="122"/>
      <c r="D23" t="s">
        <v>149</v>
      </c>
    </row>
    <row r="24" spans="1:22" x14ac:dyDescent="0.3">
      <c r="D24" t="s">
        <v>3</v>
      </c>
      <c r="F24" s="27">
        <f>F14/F19</f>
        <v>1.28</v>
      </c>
      <c r="G24" s="27">
        <f t="shared" ref="G24:K24" si="10">G14/G19</f>
        <v>1.5217391304347825</v>
      </c>
      <c r="H24">
        <f t="shared" si="10"/>
        <v>1.4000000000000001</v>
      </c>
      <c r="I24">
        <f t="shared" si="10"/>
        <v>0.93103448275862077</v>
      </c>
      <c r="J24">
        <f t="shared" si="10"/>
        <v>0.91176470588235292</v>
      </c>
      <c r="K24" s="27">
        <f t="shared" si="10"/>
        <v>0.90243902439024393</v>
      </c>
      <c r="L24" s="41">
        <f t="shared" ref="L24:N24" si="11">L14/L19</f>
        <v>1</v>
      </c>
      <c r="M24" s="41">
        <f t="shared" si="11"/>
        <v>1.0227272727272727</v>
      </c>
      <c r="N24" s="27">
        <f t="shared" si="11"/>
        <v>1.24</v>
      </c>
    </row>
    <row r="25" spans="1:22" x14ac:dyDescent="0.3">
      <c r="D25" t="s">
        <v>141</v>
      </c>
      <c r="F25">
        <f>F15/F20</f>
        <v>1.0344827586206897</v>
      </c>
      <c r="G25" s="27">
        <f t="shared" ref="G25:K25" si="12">G15/G20</f>
        <v>1.5384615384615385</v>
      </c>
      <c r="H25" t="e">
        <f t="shared" si="12"/>
        <v>#DIV/0!</v>
      </c>
      <c r="I25">
        <f t="shared" si="12"/>
        <v>0.93333333333333324</v>
      </c>
      <c r="J25">
        <f t="shared" si="12"/>
        <v>0.97619047619047616</v>
      </c>
      <c r="K25" s="27">
        <f t="shared" si="12"/>
        <v>1.0888888888888888</v>
      </c>
      <c r="L25" s="41">
        <f t="shared" ref="L25:N25" si="13">L15/L20</f>
        <v>1.0217391304347825</v>
      </c>
      <c r="M25" s="27">
        <f t="shared" si="13"/>
        <v>1.2325581395348839</v>
      </c>
      <c r="N25" s="42">
        <f t="shared" si="13"/>
        <v>0.89473684210526316</v>
      </c>
    </row>
    <row r="28" spans="1:22" ht="29.4" customHeight="1" x14ac:dyDescent="0.3">
      <c r="A28" s="123" t="s">
        <v>534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</row>
    <row r="29" spans="1:22" x14ac:dyDescent="0.3">
      <c r="B29" s="39" t="s">
        <v>64</v>
      </c>
      <c r="C29" s="40" t="s">
        <v>535</v>
      </c>
      <c r="D29" s="39" t="s">
        <v>66</v>
      </c>
      <c r="E29" s="40" t="s">
        <v>535</v>
      </c>
      <c r="F29" s="39" t="s">
        <v>65</v>
      </c>
      <c r="G29" s="40" t="s">
        <v>535</v>
      </c>
      <c r="H29" s="39" t="s">
        <v>70</v>
      </c>
      <c r="I29" s="40" t="s">
        <v>535</v>
      </c>
      <c r="J29" s="39" t="s">
        <v>67</v>
      </c>
      <c r="K29" s="40" t="s">
        <v>536</v>
      </c>
      <c r="L29" s="39" t="s">
        <v>68</v>
      </c>
      <c r="M29" s="40" t="s">
        <v>536</v>
      </c>
      <c r="N29" s="39" t="s">
        <v>69</v>
      </c>
      <c r="O29" s="40" t="s">
        <v>536</v>
      </c>
      <c r="P29" s="39" t="s">
        <v>537</v>
      </c>
      <c r="Q29" s="40" t="s">
        <v>536</v>
      </c>
      <c r="R29" s="39" t="s">
        <v>538</v>
      </c>
      <c r="S29" s="40" t="s">
        <v>536</v>
      </c>
      <c r="T29" s="39" t="s">
        <v>539</v>
      </c>
      <c r="U29" s="40" t="s">
        <v>536</v>
      </c>
    </row>
    <row r="30" spans="1:22" x14ac:dyDescent="0.3">
      <c r="A30" s="20" t="s">
        <v>141</v>
      </c>
      <c r="B30" s="15">
        <v>177</v>
      </c>
      <c r="C30" s="16"/>
      <c r="D30" s="15">
        <v>28</v>
      </c>
      <c r="E30" s="16">
        <v>29</v>
      </c>
      <c r="F30" s="15">
        <v>258</v>
      </c>
      <c r="G30" s="16">
        <v>298</v>
      </c>
      <c r="H30" s="15">
        <v>341</v>
      </c>
      <c r="I30" s="16">
        <v>379</v>
      </c>
      <c r="J30" s="15">
        <v>32</v>
      </c>
      <c r="K30" s="16">
        <v>33</v>
      </c>
      <c r="L30" s="15">
        <v>0</v>
      </c>
      <c r="M30" s="16">
        <v>0</v>
      </c>
      <c r="N30" s="15">
        <v>29</v>
      </c>
      <c r="O30" s="16">
        <v>33</v>
      </c>
      <c r="P30" s="15">
        <v>246</v>
      </c>
      <c r="Q30" s="16">
        <v>267</v>
      </c>
      <c r="R30" s="15">
        <v>21</v>
      </c>
      <c r="S30" s="16"/>
      <c r="T30" s="15">
        <v>102</v>
      </c>
      <c r="U30" s="16">
        <v>114</v>
      </c>
    </row>
    <row r="31" spans="1:22" x14ac:dyDescent="0.3">
      <c r="A31" s="21" t="s">
        <v>3</v>
      </c>
      <c r="B31" s="15">
        <v>213</v>
      </c>
      <c r="C31" s="16"/>
      <c r="D31" s="15">
        <v>188</v>
      </c>
      <c r="E31" s="16">
        <v>183</v>
      </c>
      <c r="F31" s="15">
        <v>319</v>
      </c>
      <c r="G31" s="16">
        <v>384</v>
      </c>
      <c r="H31" s="15">
        <v>208</v>
      </c>
      <c r="I31" s="16">
        <v>235</v>
      </c>
      <c r="J31" s="15">
        <v>128</v>
      </c>
      <c r="K31" s="16">
        <v>128</v>
      </c>
      <c r="L31" s="15">
        <v>17</v>
      </c>
      <c r="M31" s="16">
        <v>16</v>
      </c>
      <c r="N31" s="15">
        <v>33</v>
      </c>
      <c r="O31" s="16">
        <v>41</v>
      </c>
      <c r="P31" s="15">
        <v>34</v>
      </c>
      <c r="Q31" s="16">
        <v>38</v>
      </c>
      <c r="R31" s="15">
        <v>35</v>
      </c>
      <c r="S31" s="16"/>
      <c r="T31" s="15">
        <v>68</v>
      </c>
      <c r="U31" s="16">
        <v>80</v>
      </c>
    </row>
    <row r="32" spans="1:22" x14ac:dyDescent="0.3">
      <c r="A32" s="21" t="s">
        <v>149</v>
      </c>
      <c r="B32" s="15">
        <v>234</v>
      </c>
      <c r="C32" s="16"/>
      <c r="D32" s="15">
        <v>201</v>
      </c>
      <c r="E32" s="16">
        <v>198</v>
      </c>
      <c r="F32" s="15">
        <v>344</v>
      </c>
      <c r="G32" s="16" t="s">
        <v>553</v>
      </c>
      <c r="H32" s="15">
        <v>88</v>
      </c>
      <c r="I32" s="16" t="s">
        <v>557</v>
      </c>
      <c r="J32" s="15">
        <v>206</v>
      </c>
      <c r="K32" s="16">
        <v>232</v>
      </c>
      <c r="L32" s="15">
        <v>43</v>
      </c>
      <c r="M32" s="16" t="s">
        <v>552</v>
      </c>
      <c r="N32" s="15">
        <v>46</v>
      </c>
      <c r="O32" s="16" t="s">
        <v>554</v>
      </c>
      <c r="P32" s="15">
        <v>64</v>
      </c>
      <c r="Q32" s="16" t="s">
        <v>555</v>
      </c>
      <c r="R32" s="15">
        <v>44</v>
      </c>
      <c r="S32" s="16"/>
      <c r="T32" s="15">
        <v>14</v>
      </c>
      <c r="U32" s="16" t="s">
        <v>556</v>
      </c>
    </row>
    <row r="33" spans="1:21" x14ac:dyDescent="0.3">
      <c r="A33" s="22" t="s">
        <v>533</v>
      </c>
      <c r="B33" s="17">
        <v>54</v>
      </c>
      <c r="C33" s="18"/>
      <c r="D33" s="17">
        <v>34</v>
      </c>
      <c r="E33" s="18">
        <v>38</v>
      </c>
      <c r="F33" s="17">
        <v>21</v>
      </c>
      <c r="G33" s="18">
        <v>16</v>
      </c>
      <c r="H33" s="17">
        <v>6</v>
      </c>
      <c r="I33" s="18">
        <v>4</v>
      </c>
      <c r="J33" s="17">
        <v>54</v>
      </c>
      <c r="K33" s="18">
        <v>45</v>
      </c>
      <c r="L33" s="17">
        <v>40</v>
      </c>
      <c r="M33" s="18">
        <v>38</v>
      </c>
      <c r="N33" s="17">
        <v>1</v>
      </c>
      <c r="O33" s="18">
        <v>0</v>
      </c>
      <c r="P33" s="17">
        <v>0</v>
      </c>
      <c r="Q33" s="18">
        <v>0</v>
      </c>
      <c r="R33" s="17">
        <v>12</v>
      </c>
      <c r="S33" s="18"/>
      <c r="T33" s="17">
        <v>1</v>
      </c>
      <c r="U33" s="18">
        <v>0</v>
      </c>
    </row>
    <row r="36" spans="1:21" x14ac:dyDescent="0.3">
      <c r="A36" t="s">
        <v>541</v>
      </c>
    </row>
    <row r="37" spans="1:21" x14ac:dyDescent="0.3">
      <c r="A37" t="s">
        <v>68</v>
      </c>
      <c r="B37" t="s">
        <v>542</v>
      </c>
      <c r="C37" t="s">
        <v>543</v>
      </c>
    </row>
    <row r="38" spans="1:21" x14ac:dyDescent="0.3">
      <c r="A38" t="s">
        <v>67</v>
      </c>
      <c r="B38" t="s">
        <v>544</v>
      </c>
      <c r="C38" t="s">
        <v>545</v>
      </c>
      <c r="D38" t="s">
        <v>546</v>
      </c>
    </row>
    <row r="39" spans="1:21" x14ac:dyDescent="0.3">
      <c r="A39" t="s">
        <v>547</v>
      </c>
      <c r="B39" t="s">
        <v>548</v>
      </c>
      <c r="C39" t="s">
        <v>549</v>
      </c>
    </row>
    <row r="40" spans="1:21" x14ac:dyDescent="0.3">
      <c r="A40" t="s">
        <v>538</v>
      </c>
      <c r="B40" t="s">
        <v>550</v>
      </c>
      <c r="C40" t="s">
        <v>551</v>
      </c>
    </row>
    <row r="45" spans="1:21" x14ac:dyDescent="0.3">
      <c r="E45" t="s">
        <v>64</v>
      </c>
      <c r="F45" t="s">
        <v>66</v>
      </c>
      <c r="G45" t="s">
        <v>67</v>
      </c>
      <c r="H45" t="s">
        <v>68</v>
      </c>
      <c r="I45" t="s">
        <v>65</v>
      </c>
      <c r="J45" t="s">
        <v>69</v>
      </c>
      <c r="K45" t="s">
        <v>70</v>
      </c>
      <c r="L45" t="s">
        <v>537</v>
      </c>
      <c r="M45" t="s">
        <v>539</v>
      </c>
      <c r="N45" t="s">
        <v>538</v>
      </c>
    </row>
    <row r="46" spans="1:21" x14ac:dyDescent="0.3">
      <c r="D46" t="s">
        <v>558</v>
      </c>
      <c r="F46">
        <v>5.5</v>
      </c>
      <c r="G46">
        <v>10</v>
      </c>
      <c r="H46">
        <v>4.0999999999999996</v>
      </c>
      <c r="I46">
        <v>7.5</v>
      </c>
      <c r="J46">
        <v>4.3</v>
      </c>
      <c r="K46">
        <v>18.100000000000001</v>
      </c>
      <c r="L46">
        <v>1.6</v>
      </c>
      <c r="M46">
        <v>0.7</v>
      </c>
      <c r="N46">
        <v>1</v>
      </c>
    </row>
    <row r="47" spans="1:21" x14ac:dyDescent="0.3">
      <c r="D47" t="s">
        <v>559</v>
      </c>
      <c r="F47">
        <v>9.1999999999999993</v>
      </c>
      <c r="G47">
        <v>20.6</v>
      </c>
      <c r="H47">
        <v>7.5</v>
      </c>
      <c r="I47">
        <v>24.4</v>
      </c>
      <c r="J47">
        <v>7.1</v>
      </c>
      <c r="K47">
        <v>79.400000000000006</v>
      </c>
      <c r="L47">
        <v>19.3</v>
      </c>
      <c r="M47">
        <v>7.5</v>
      </c>
      <c r="N47">
        <v>0.8</v>
      </c>
    </row>
    <row r="48" spans="1:21" x14ac:dyDescent="0.3">
      <c r="D48" t="s">
        <v>560</v>
      </c>
    </row>
    <row r="49" spans="2:16" x14ac:dyDescent="0.3">
      <c r="D49" t="s">
        <v>561</v>
      </c>
    </row>
    <row r="51" spans="2:16" x14ac:dyDescent="0.3">
      <c r="D51" t="s">
        <v>562</v>
      </c>
      <c r="F51">
        <f>F47/F46</f>
        <v>1.6727272727272726</v>
      </c>
      <c r="G51">
        <f t="shared" ref="G51:N51" si="14">G47/G46</f>
        <v>2.06</v>
      </c>
      <c r="H51">
        <f t="shared" si="14"/>
        <v>1.8292682926829269</v>
      </c>
      <c r="I51">
        <f t="shared" si="14"/>
        <v>3.253333333333333</v>
      </c>
      <c r="J51">
        <f t="shared" si="14"/>
        <v>1.6511627906976745</v>
      </c>
      <c r="K51">
        <f t="shared" si="14"/>
        <v>4.3867403314917128</v>
      </c>
      <c r="L51">
        <f t="shared" si="14"/>
        <v>12.0625</v>
      </c>
      <c r="M51">
        <f t="shared" si="14"/>
        <v>10.714285714285715</v>
      </c>
      <c r="N51">
        <f t="shared" si="14"/>
        <v>0.8</v>
      </c>
    </row>
    <row r="54" spans="2:16" x14ac:dyDescent="0.3">
      <c r="B54" t="s">
        <v>564</v>
      </c>
      <c r="D54" t="s">
        <v>93</v>
      </c>
      <c r="E54" t="s">
        <v>64</v>
      </c>
      <c r="F54" t="s">
        <v>66</v>
      </c>
      <c r="G54" t="s">
        <v>67</v>
      </c>
      <c r="H54" t="s">
        <v>68</v>
      </c>
      <c r="I54" t="s">
        <v>65</v>
      </c>
      <c r="J54" t="s">
        <v>69</v>
      </c>
      <c r="K54" t="s">
        <v>70</v>
      </c>
      <c r="L54" t="s">
        <v>537</v>
      </c>
      <c r="M54" t="s">
        <v>539</v>
      </c>
      <c r="N54" t="s">
        <v>538</v>
      </c>
      <c r="O54" t="s">
        <v>569</v>
      </c>
    </row>
    <row r="55" spans="2:16" x14ac:dyDescent="0.3">
      <c r="D55" t="s">
        <v>566</v>
      </c>
      <c r="F55">
        <v>84</v>
      </c>
      <c r="G55">
        <v>94</v>
      </c>
      <c r="H55">
        <v>0</v>
      </c>
      <c r="I55">
        <v>102</v>
      </c>
      <c r="J55">
        <v>38</v>
      </c>
      <c r="K55">
        <v>80</v>
      </c>
      <c r="L55">
        <v>72</v>
      </c>
      <c r="M55">
        <v>7</v>
      </c>
      <c r="N55">
        <v>12</v>
      </c>
    </row>
    <row r="56" spans="2:16" x14ac:dyDescent="0.3">
      <c r="D56" t="s">
        <v>565</v>
      </c>
      <c r="F56">
        <f>84</f>
        <v>84</v>
      </c>
      <c r="G56">
        <f>94+1+1+3</f>
        <v>99</v>
      </c>
      <c r="H56">
        <v>7</v>
      </c>
      <c r="I56">
        <f>102+10</f>
        <v>112</v>
      </c>
      <c r="J56">
        <f>38+3</f>
        <v>41</v>
      </c>
      <c r="K56">
        <f>79+1+7</f>
        <v>87</v>
      </c>
      <c r="L56">
        <f>72+3</f>
        <v>75</v>
      </c>
      <c r="M56">
        <f>7+1</f>
        <v>8</v>
      </c>
      <c r="N56">
        <v>12</v>
      </c>
    </row>
    <row r="57" spans="2:16" x14ac:dyDescent="0.3">
      <c r="D57" t="s">
        <v>576</v>
      </c>
      <c r="F57">
        <f t="shared" ref="F57:N57" si="15">F55-F56</f>
        <v>0</v>
      </c>
      <c r="G57">
        <f t="shared" si="15"/>
        <v>-5</v>
      </c>
      <c r="H57">
        <f t="shared" si="15"/>
        <v>-7</v>
      </c>
      <c r="I57">
        <f t="shared" si="15"/>
        <v>-10</v>
      </c>
      <c r="J57">
        <f t="shared" si="15"/>
        <v>-3</v>
      </c>
      <c r="K57">
        <f t="shared" si="15"/>
        <v>-7</v>
      </c>
      <c r="L57">
        <f t="shared" si="15"/>
        <v>-3</v>
      </c>
      <c r="M57">
        <f t="shared" si="15"/>
        <v>-1</v>
      </c>
      <c r="N57">
        <f t="shared" si="15"/>
        <v>0</v>
      </c>
    </row>
    <row r="59" spans="2:16" x14ac:dyDescent="0.3">
      <c r="D59" t="s">
        <v>567</v>
      </c>
      <c r="E59">
        <v>-22</v>
      </c>
      <c r="F59">
        <v>15</v>
      </c>
      <c r="G59">
        <v>39</v>
      </c>
      <c r="H59">
        <v>-1</v>
      </c>
      <c r="I59">
        <v>-29</v>
      </c>
      <c r="J59">
        <v>34</v>
      </c>
      <c r="K59">
        <v>50</v>
      </c>
      <c r="L59">
        <v>72</v>
      </c>
      <c r="M59">
        <v>-9</v>
      </c>
      <c r="N59">
        <v>-4</v>
      </c>
      <c r="O59">
        <f>SUM(E59:N59)</f>
        <v>145</v>
      </c>
      <c r="P59" t="s">
        <v>577</v>
      </c>
    </row>
    <row r="60" spans="2:16" x14ac:dyDescent="0.3">
      <c r="D60" t="s">
        <v>568</v>
      </c>
      <c r="E60">
        <v>-22</v>
      </c>
      <c r="F60">
        <f>F59-F57</f>
        <v>15</v>
      </c>
      <c r="G60">
        <f t="shared" ref="G60:N60" si="16">G59-G57</f>
        <v>44</v>
      </c>
      <c r="H60">
        <f t="shared" si="16"/>
        <v>6</v>
      </c>
      <c r="I60">
        <f t="shared" si="16"/>
        <v>-19</v>
      </c>
      <c r="J60">
        <f t="shared" si="16"/>
        <v>37</v>
      </c>
      <c r="K60">
        <f t="shared" si="16"/>
        <v>57</v>
      </c>
      <c r="L60">
        <f t="shared" si="16"/>
        <v>75</v>
      </c>
      <c r="M60">
        <f t="shared" si="16"/>
        <v>-8</v>
      </c>
      <c r="N60">
        <f t="shared" si="16"/>
        <v>-4</v>
      </c>
      <c r="O60">
        <f>SUM(E60:N60)</f>
        <v>181</v>
      </c>
      <c r="P60" t="s">
        <v>577</v>
      </c>
    </row>
    <row r="63" spans="2:16" x14ac:dyDescent="0.3">
      <c r="D63" t="s">
        <v>95</v>
      </c>
      <c r="E63" t="s">
        <v>64</v>
      </c>
      <c r="F63" t="s">
        <v>66</v>
      </c>
      <c r="G63" t="s">
        <v>67</v>
      </c>
      <c r="H63" t="s">
        <v>68</v>
      </c>
      <c r="I63" t="s">
        <v>65</v>
      </c>
      <c r="J63" t="s">
        <v>69</v>
      </c>
      <c r="K63" t="s">
        <v>70</v>
      </c>
      <c r="L63" t="s">
        <v>537</v>
      </c>
      <c r="M63" t="s">
        <v>539</v>
      </c>
      <c r="N63" t="s">
        <v>538</v>
      </c>
      <c r="O63" t="s">
        <v>569</v>
      </c>
    </row>
    <row r="64" spans="2:16" x14ac:dyDescent="0.3">
      <c r="D64" t="s">
        <v>566</v>
      </c>
    </row>
    <row r="65" spans="2:16" x14ac:dyDescent="0.3">
      <c r="D65" t="s">
        <v>565</v>
      </c>
    </row>
    <row r="66" spans="2:16" x14ac:dyDescent="0.3">
      <c r="D66" t="s">
        <v>567</v>
      </c>
    </row>
    <row r="67" spans="2:16" x14ac:dyDescent="0.3">
      <c r="D67" t="s">
        <v>568</v>
      </c>
    </row>
    <row r="70" spans="2:16" x14ac:dyDescent="0.3">
      <c r="D70" t="s">
        <v>94</v>
      </c>
      <c r="E70" t="s">
        <v>64</v>
      </c>
      <c r="F70" t="s">
        <v>66</v>
      </c>
      <c r="G70" t="s">
        <v>67</v>
      </c>
      <c r="H70" t="s">
        <v>68</v>
      </c>
      <c r="I70" t="s">
        <v>65</v>
      </c>
      <c r="J70" t="s">
        <v>69</v>
      </c>
      <c r="K70" t="s">
        <v>70</v>
      </c>
      <c r="L70" t="s">
        <v>537</v>
      </c>
      <c r="M70" t="s">
        <v>539</v>
      </c>
      <c r="N70" t="s">
        <v>538</v>
      </c>
      <c r="O70" t="s">
        <v>569</v>
      </c>
    </row>
    <row r="71" spans="2:16" x14ac:dyDescent="0.3">
      <c r="D71" t="s">
        <v>566</v>
      </c>
      <c r="F71">
        <v>55</v>
      </c>
      <c r="G71">
        <f>47+5</f>
        <v>52</v>
      </c>
      <c r="H71">
        <v>6</v>
      </c>
      <c r="I71">
        <f>193+10</f>
        <v>203</v>
      </c>
      <c r="J71">
        <f>41+2</f>
        <v>43</v>
      </c>
      <c r="K71">
        <f>48+6</f>
        <v>54</v>
      </c>
      <c r="L71">
        <f>66+2</f>
        <v>68</v>
      </c>
      <c r="M71">
        <f>4</f>
        <v>4</v>
      </c>
      <c r="N71">
        <v>6</v>
      </c>
    </row>
    <row r="72" spans="2:16" x14ac:dyDescent="0.3">
      <c r="D72" t="s">
        <v>572</v>
      </c>
      <c r="F72">
        <v>58.6</v>
      </c>
      <c r="G72">
        <v>30.3</v>
      </c>
      <c r="H72">
        <v>5.5</v>
      </c>
      <c r="I72">
        <v>148.4</v>
      </c>
      <c r="J72">
        <v>25.9</v>
      </c>
      <c r="K72">
        <v>56.3</v>
      </c>
      <c r="L72">
        <v>44.4</v>
      </c>
      <c r="M72">
        <v>19.2</v>
      </c>
      <c r="N72">
        <v>7.4</v>
      </c>
    </row>
    <row r="73" spans="2:16" x14ac:dyDescent="0.3">
      <c r="D73" t="s">
        <v>570</v>
      </c>
      <c r="F73">
        <f>F71-F72</f>
        <v>-3.6000000000000014</v>
      </c>
      <c r="G73">
        <f t="shared" ref="G73:N73" si="17">G71-G72</f>
        <v>21.7</v>
      </c>
      <c r="H73">
        <f t="shared" si="17"/>
        <v>0.5</v>
      </c>
      <c r="I73">
        <f t="shared" si="17"/>
        <v>54.599999999999994</v>
      </c>
      <c r="J73">
        <f t="shared" si="17"/>
        <v>17.100000000000001</v>
      </c>
      <c r="K73">
        <f t="shared" si="17"/>
        <v>-2.2999999999999972</v>
      </c>
      <c r="L73">
        <f t="shared" si="17"/>
        <v>23.6</v>
      </c>
      <c r="M73">
        <f t="shared" si="17"/>
        <v>-15.2</v>
      </c>
      <c r="N73">
        <f t="shared" si="17"/>
        <v>-1.4000000000000004</v>
      </c>
    </row>
    <row r="74" spans="2:16" x14ac:dyDescent="0.3">
      <c r="D74" t="s">
        <v>571</v>
      </c>
      <c r="F74">
        <v>17</v>
      </c>
      <c r="G74">
        <v>16.7</v>
      </c>
      <c r="H74">
        <v>3.2</v>
      </c>
      <c r="I74">
        <v>76.400000000000006</v>
      </c>
      <c r="J74">
        <v>19.600000000000001</v>
      </c>
      <c r="K74">
        <v>15.6</v>
      </c>
      <c r="L74">
        <v>34.299999999999997</v>
      </c>
      <c r="M74">
        <v>1.1000000000000001</v>
      </c>
      <c r="N74">
        <v>2</v>
      </c>
    </row>
    <row r="76" spans="2:16" x14ac:dyDescent="0.3">
      <c r="D76" t="s">
        <v>567</v>
      </c>
      <c r="E76">
        <v>3</v>
      </c>
      <c r="F76">
        <v>-3</v>
      </c>
      <c r="G76">
        <v>33</v>
      </c>
      <c r="H76">
        <v>-3</v>
      </c>
      <c r="I76">
        <v>80</v>
      </c>
      <c r="J76">
        <v>48</v>
      </c>
      <c r="K76">
        <v>-4</v>
      </c>
      <c r="L76">
        <v>-6</v>
      </c>
      <c r="M76">
        <v>-62</v>
      </c>
      <c r="N76">
        <v>-15</v>
      </c>
      <c r="O76">
        <f>SUM(E76:N76)</f>
        <v>71</v>
      </c>
      <c r="P76" t="s">
        <v>577</v>
      </c>
    </row>
    <row r="77" spans="2:16" x14ac:dyDescent="0.3">
      <c r="B77" t="s">
        <v>575</v>
      </c>
      <c r="D77" t="s">
        <v>573</v>
      </c>
      <c r="E77">
        <v>3</v>
      </c>
      <c r="F77">
        <f>F$76-F73</f>
        <v>0.60000000000000142</v>
      </c>
      <c r="G77">
        <f t="shared" ref="G77:N77" si="18">G$76-G73</f>
        <v>11.3</v>
      </c>
      <c r="H77">
        <f t="shared" si="18"/>
        <v>-3.5</v>
      </c>
      <c r="I77">
        <f t="shared" si="18"/>
        <v>25.400000000000006</v>
      </c>
      <c r="J77">
        <f t="shared" si="18"/>
        <v>30.9</v>
      </c>
      <c r="K77">
        <f t="shared" si="18"/>
        <v>-1.7000000000000028</v>
      </c>
      <c r="L77">
        <f t="shared" si="18"/>
        <v>-29.6</v>
      </c>
      <c r="M77">
        <f t="shared" si="18"/>
        <v>-46.8</v>
      </c>
      <c r="N77">
        <f t="shared" si="18"/>
        <v>-13.6</v>
      </c>
      <c r="O77">
        <f>SUM(E77:N77)</f>
        <v>-23.999999999999986</v>
      </c>
      <c r="P77" t="s">
        <v>578</v>
      </c>
    </row>
    <row r="78" spans="2:16" x14ac:dyDescent="0.3">
      <c r="D78" t="s">
        <v>574</v>
      </c>
      <c r="E78">
        <v>3</v>
      </c>
      <c r="F78">
        <f>F$76-F74</f>
        <v>-20</v>
      </c>
      <c r="G78">
        <f t="shared" ref="G78:N78" si="19">G$76-G74</f>
        <v>16.3</v>
      </c>
      <c r="H78">
        <f t="shared" si="19"/>
        <v>-6.2</v>
      </c>
      <c r="I78">
        <f t="shared" si="19"/>
        <v>3.5999999999999943</v>
      </c>
      <c r="J78">
        <f t="shared" si="19"/>
        <v>28.4</v>
      </c>
      <c r="K78">
        <f t="shared" si="19"/>
        <v>-19.600000000000001</v>
      </c>
      <c r="L78">
        <f t="shared" si="19"/>
        <v>-40.299999999999997</v>
      </c>
      <c r="M78">
        <f t="shared" si="19"/>
        <v>-63.1</v>
      </c>
      <c r="N78">
        <f t="shared" si="19"/>
        <v>-17</v>
      </c>
      <c r="O78">
        <f>SUM(E78:N78)</f>
        <v>-114.9</v>
      </c>
    </row>
  </sheetData>
  <mergeCells count="2">
    <mergeCell ref="B22:B23"/>
    <mergeCell ref="A28:V2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E1D6-E941-4FC6-B344-B98506D99B52}">
  <dimension ref="B2:N117"/>
  <sheetViews>
    <sheetView topLeftCell="A81" zoomScale="63" workbookViewId="0">
      <selection activeCell="E94" sqref="E94"/>
    </sheetView>
  </sheetViews>
  <sheetFormatPr baseColWidth="10" defaultRowHeight="14.4" x14ac:dyDescent="0.3"/>
  <cols>
    <col min="2" max="2" width="25.77734375" customWidth="1"/>
    <col min="3" max="3" width="19" customWidth="1"/>
    <col min="4" max="4" width="18.21875" customWidth="1"/>
    <col min="5" max="5" width="20.5546875" customWidth="1"/>
    <col min="6" max="6" width="23.44140625" customWidth="1"/>
    <col min="7" max="7" width="22.77734375" customWidth="1"/>
    <col min="8" max="8" width="19.21875" customWidth="1"/>
    <col min="9" max="9" width="17.88671875" customWidth="1"/>
    <col min="10" max="10" width="18.77734375" customWidth="1"/>
    <col min="11" max="11" width="26" customWidth="1"/>
    <col min="12" max="12" width="50.21875" customWidth="1"/>
  </cols>
  <sheetData>
    <row r="2" spans="2:12" ht="15" thickBot="1" x14ac:dyDescent="0.35">
      <c r="D2" t="s">
        <v>601</v>
      </c>
      <c r="G2" t="s">
        <v>602</v>
      </c>
      <c r="I2" t="s">
        <v>603</v>
      </c>
    </row>
    <row r="3" spans="2:12" x14ac:dyDescent="0.3">
      <c r="B3" s="97" t="s">
        <v>583</v>
      </c>
      <c r="C3" s="99" t="s">
        <v>584</v>
      </c>
      <c r="D3" s="84" t="s">
        <v>585</v>
      </c>
      <c r="E3" s="85" t="s">
        <v>586</v>
      </c>
      <c r="F3" s="83" t="s">
        <v>587</v>
      </c>
      <c r="G3" s="84" t="s">
        <v>588</v>
      </c>
      <c r="H3" s="85" t="s">
        <v>589</v>
      </c>
      <c r="I3" s="104" t="s">
        <v>590</v>
      </c>
      <c r="J3" s="85" t="s">
        <v>591</v>
      </c>
      <c r="L3" t="s">
        <v>615</v>
      </c>
    </row>
    <row r="4" spans="2:12" x14ac:dyDescent="0.3">
      <c r="B4" s="98" t="s">
        <v>64</v>
      </c>
      <c r="C4" s="100">
        <v>17</v>
      </c>
      <c r="D4" s="87">
        <v>17</v>
      </c>
      <c r="E4" s="88">
        <v>0</v>
      </c>
      <c r="F4" s="86">
        <v>4</v>
      </c>
      <c r="G4" s="87">
        <v>4</v>
      </c>
      <c r="H4" s="88">
        <v>29</v>
      </c>
      <c r="I4" s="105">
        <v>49</v>
      </c>
      <c r="J4" s="88">
        <v>21.4</v>
      </c>
    </row>
    <row r="5" spans="2:12" x14ac:dyDescent="0.3">
      <c r="B5" s="98" t="s">
        <v>66</v>
      </c>
      <c r="C5" s="101">
        <v>-15</v>
      </c>
      <c r="D5" s="70">
        <f>C5</f>
        <v>-15</v>
      </c>
      <c r="E5" s="88">
        <v>-15</v>
      </c>
      <c r="F5" s="89">
        <v>3</v>
      </c>
      <c r="G5" s="70">
        <f>F5+17</f>
        <v>20</v>
      </c>
      <c r="H5" s="88">
        <v>0</v>
      </c>
      <c r="I5" s="106">
        <v>10</v>
      </c>
      <c r="J5" s="88">
        <v>0.7</v>
      </c>
    </row>
    <row r="6" spans="2:12" x14ac:dyDescent="0.3">
      <c r="B6" s="98" t="s">
        <v>67</v>
      </c>
      <c r="C6" s="101">
        <v>-39</v>
      </c>
      <c r="D6" s="70">
        <f>C6-5</f>
        <v>-44</v>
      </c>
      <c r="E6" s="88">
        <v>-44</v>
      </c>
      <c r="F6" s="89">
        <v>-33</v>
      </c>
      <c r="G6" s="70">
        <f>F6+16.7</f>
        <v>-16.3</v>
      </c>
      <c r="H6" s="88">
        <v>-27</v>
      </c>
      <c r="I6" s="106">
        <v>-17</v>
      </c>
      <c r="J6" s="88">
        <v>-6.2</v>
      </c>
    </row>
    <row r="7" spans="2:12" x14ac:dyDescent="0.3">
      <c r="B7" s="98" t="s">
        <v>68</v>
      </c>
      <c r="C7" s="101">
        <v>1</v>
      </c>
      <c r="D7" s="70">
        <v>1</v>
      </c>
      <c r="E7" s="102">
        <v>-6</v>
      </c>
      <c r="F7" s="89">
        <v>3</v>
      </c>
      <c r="G7" s="70">
        <f>F7+3.2</f>
        <v>6.2</v>
      </c>
      <c r="H7" s="88">
        <v>18</v>
      </c>
      <c r="I7" s="106">
        <v>12</v>
      </c>
      <c r="J7" s="88">
        <v>-4.5</v>
      </c>
      <c r="K7" t="s">
        <v>617</v>
      </c>
    </row>
    <row r="8" spans="2:12" x14ac:dyDescent="0.3">
      <c r="B8" s="98" t="s">
        <v>65</v>
      </c>
      <c r="C8" s="101">
        <v>9</v>
      </c>
      <c r="D8" s="70">
        <f>C8-10</f>
        <v>-1</v>
      </c>
      <c r="E8" s="88">
        <v>0</v>
      </c>
      <c r="F8" s="89">
        <v>-80</v>
      </c>
      <c r="G8" s="70">
        <f>F8+76.4</f>
        <v>-3.5999999999999943</v>
      </c>
      <c r="H8" s="88">
        <v>-30</v>
      </c>
      <c r="I8" s="106">
        <v>29</v>
      </c>
      <c r="J8" s="88">
        <v>16.5</v>
      </c>
    </row>
    <row r="9" spans="2:12" x14ac:dyDescent="0.3">
      <c r="B9" s="98" t="s">
        <v>69</v>
      </c>
      <c r="C9" s="101">
        <v>-34</v>
      </c>
      <c r="D9" s="70">
        <f>C9-2.4</f>
        <v>-36.4</v>
      </c>
      <c r="E9" s="88">
        <v>-37</v>
      </c>
      <c r="F9" s="89">
        <v>-48</v>
      </c>
      <c r="G9" s="70">
        <f>F9+19.6</f>
        <v>-28.4</v>
      </c>
      <c r="H9" s="88">
        <v>-29</v>
      </c>
      <c r="I9" s="106">
        <v>-13</v>
      </c>
      <c r="J9" s="88">
        <v>-14.5</v>
      </c>
    </row>
    <row r="10" spans="2:12" x14ac:dyDescent="0.3">
      <c r="B10" s="98" t="s">
        <v>70</v>
      </c>
      <c r="C10" s="101">
        <v>-50</v>
      </c>
      <c r="D10" s="70">
        <f>C10-6.5</f>
        <v>-56.5</v>
      </c>
      <c r="E10" s="88">
        <v>-57</v>
      </c>
      <c r="F10" s="89">
        <v>4</v>
      </c>
      <c r="G10" s="70">
        <f>F10+15.6</f>
        <v>19.600000000000001</v>
      </c>
      <c r="H10" s="88">
        <v>-43</v>
      </c>
      <c r="I10" s="106">
        <v>-24</v>
      </c>
      <c r="J10" s="88">
        <v>-23.9</v>
      </c>
    </row>
    <row r="11" spans="2:12" x14ac:dyDescent="0.3">
      <c r="B11" s="98" t="s">
        <v>537</v>
      </c>
      <c r="C11" s="101">
        <v>-72</v>
      </c>
      <c r="D11" s="70">
        <f>C11-2.7</f>
        <v>-74.7</v>
      </c>
      <c r="E11" s="88">
        <v>-75</v>
      </c>
      <c r="F11" s="89">
        <v>6</v>
      </c>
      <c r="G11" s="70">
        <f>F11+34.3</f>
        <v>40.299999999999997</v>
      </c>
      <c r="H11" s="88">
        <v>15</v>
      </c>
      <c r="I11" s="106">
        <v>9</v>
      </c>
      <c r="J11" s="88">
        <v>-2.9</v>
      </c>
    </row>
    <row r="12" spans="2:12" x14ac:dyDescent="0.3">
      <c r="B12" s="98" t="s">
        <v>539</v>
      </c>
      <c r="C12" s="101">
        <v>9</v>
      </c>
      <c r="D12" s="70">
        <f>C12-0.4</f>
        <v>8.6</v>
      </c>
      <c r="E12" s="88">
        <v>0</v>
      </c>
      <c r="F12" s="89">
        <v>62</v>
      </c>
      <c r="G12" s="70">
        <f>F12+1.1</f>
        <v>63.1</v>
      </c>
      <c r="H12" s="88">
        <v>54</v>
      </c>
      <c r="I12" s="106">
        <v>21</v>
      </c>
      <c r="J12" s="88">
        <v>21.3</v>
      </c>
    </row>
    <row r="13" spans="2:12" x14ac:dyDescent="0.3">
      <c r="B13" s="73" t="s">
        <v>538</v>
      </c>
      <c r="C13" s="103">
        <v>4</v>
      </c>
      <c r="D13" s="71">
        <v>4</v>
      </c>
      <c r="E13" s="91">
        <v>0</v>
      </c>
      <c r="F13" s="90">
        <v>15</v>
      </c>
      <c r="G13" s="71">
        <f>F13+2</f>
        <v>17</v>
      </c>
      <c r="H13" s="91">
        <v>12</v>
      </c>
      <c r="I13" s="107">
        <v>5</v>
      </c>
      <c r="J13" s="91">
        <v>-0.2</v>
      </c>
    </row>
    <row r="14" spans="2:12" x14ac:dyDescent="0.3">
      <c r="B14" s="72" t="s">
        <v>600</v>
      </c>
      <c r="C14" s="92">
        <f>SUM(C4:C13)</f>
        <v>-170</v>
      </c>
      <c r="D14" s="72">
        <f t="shared" ref="D14:J14" si="0">SUM(D4:D13)</f>
        <v>-197.00000000000003</v>
      </c>
      <c r="E14" s="93">
        <f t="shared" si="0"/>
        <v>-234</v>
      </c>
      <c r="F14" s="92">
        <f t="shared" si="0"/>
        <v>-64</v>
      </c>
      <c r="G14" s="72">
        <f t="shared" si="0"/>
        <v>121.9</v>
      </c>
      <c r="H14" s="108">
        <f t="shared" si="0"/>
        <v>-1</v>
      </c>
      <c r="I14" s="92">
        <f t="shared" si="0"/>
        <v>81</v>
      </c>
      <c r="J14" s="108">
        <f t="shared" si="0"/>
        <v>7.7</v>
      </c>
    </row>
    <row r="15" spans="2:12" ht="15" thickBot="1" x14ac:dyDescent="0.35">
      <c r="B15" s="73" t="s">
        <v>592</v>
      </c>
      <c r="C15" s="94" t="s">
        <v>595</v>
      </c>
      <c r="D15" s="95" t="s">
        <v>596</v>
      </c>
      <c r="E15" s="96">
        <f>D14-E14</f>
        <v>36.999999999999972</v>
      </c>
      <c r="F15" s="94" t="s">
        <v>597</v>
      </c>
      <c r="G15" s="95" t="s">
        <v>598</v>
      </c>
      <c r="H15" s="96">
        <f>G14-H14</f>
        <v>122.9</v>
      </c>
      <c r="I15" s="94" t="s">
        <v>599</v>
      </c>
      <c r="J15" s="96">
        <f>I14</f>
        <v>81</v>
      </c>
    </row>
    <row r="16" spans="2:12" x14ac:dyDescent="0.3">
      <c r="J16" t="s">
        <v>616</v>
      </c>
    </row>
    <row r="17" spans="2:12" x14ac:dyDescent="0.3">
      <c r="B17" s="74" t="s">
        <v>593</v>
      </c>
    </row>
    <row r="18" spans="2:12" x14ac:dyDescent="0.3">
      <c r="B18" s="74" t="s">
        <v>594</v>
      </c>
    </row>
    <row r="21" spans="2:12" x14ac:dyDescent="0.3">
      <c r="B21" s="129" t="s">
        <v>604</v>
      </c>
      <c r="C21" s="131" t="s">
        <v>567</v>
      </c>
      <c r="D21" s="132"/>
      <c r="E21" s="132"/>
      <c r="F21" s="133"/>
      <c r="G21" s="134" t="s">
        <v>535</v>
      </c>
      <c r="H21" s="135"/>
      <c r="I21" s="135"/>
      <c r="J21" s="136"/>
    </row>
    <row r="22" spans="2:12" x14ac:dyDescent="0.3">
      <c r="B22" s="130"/>
      <c r="C22" s="76" t="s">
        <v>134</v>
      </c>
      <c r="D22" s="77" t="s">
        <v>134</v>
      </c>
      <c r="E22" s="65" t="s">
        <v>3</v>
      </c>
      <c r="F22" s="77" t="s">
        <v>3</v>
      </c>
      <c r="G22" s="65" t="s">
        <v>141</v>
      </c>
      <c r="H22" s="77" t="s">
        <v>141</v>
      </c>
      <c r="I22" s="75" t="s">
        <v>533</v>
      </c>
      <c r="J22" s="66" t="s">
        <v>533</v>
      </c>
      <c r="K22" s="67" t="s">
        <v>605</v>
      </c>
      <c r="L22" t="s">
        <v>606</v>
      </c>
    </row>
    <row r="23" spans="2:12" x14ac:dyDescent="0.3">
      <c r="B23" s="68" t="s">
        <v>64</v>
      </c>
      <c r="C23" s="78">
        <v>183</v>
      </c>
      <c r="D23" s="21">
        <v>159</v>
      </c>
      <c r="E23" s="70">
        <v>177</v>
      </c>
      <c r="F23" s="21">
        <v>179</v>
      </c>
      <c r="G23" s="70">
        <v>144</v>
      </c>
      <c r="H23" s="21">
        <v>140</v>
      </c>
      <c r="I23" s="80">
        <v>58</v>
      </c>
      <c r="J23" s="16">
        <v>51</v>
      </c>
      <c r="K23" s="20">
        <f>C23+E23+G23+I23-D23-F23-H23-J23</f>
        <v>33</v>
      </c>
    </row>
    <row r="24" spans="2:12" x14ac:dyDescent="0.3">
      <c r="B24" s="68" t="s">
        <v>66</v>
      </c>
      <c r="C24" s="78">
        <v>201</v>
      </c>
      <c r="D24" s="21">
        <v>198</v>
      </c>
      <c r="E24" s="70">
        <v>188</v>
      </c>
      <c r="F24" s="21">
        <v>177</v>
      </c>
      <c r="G24" s="70">
        <v>28</v>
      </c>
      <c r="H24" s="21">
        <v>15</v>
      </c>
      <c r="I24" s="80">
        <v>34</v>
      </c>
      <c r="J24" s="16">
        <v>27</v>
      </c>
      <c r="K24" s="21">
        <f t="shared" ref="K24:K32" si="1">C24+E24+G24+I24-D24-F24-H24-J24</f>
        <v>34</v>
      </c>
      <c r="L24" t="s">
        <v>607</v>
      </c>
    </row>
    <row r="25" spans="2:12" x14ac:dyDescent="0.3">
      <c r="B25" s="68" t="s">
        <v>67</v>
      </c>
      <c r="C25" s="78">
        <v>206</v>
      </c>
      <c r="D25" s="21">
        <v>233</v>
      </c>
      <c r="E25" s="70">
        <v>128</v>
      </c>
      <c r="F25" s="21">
        <v>124</v>
      </c>
      <c r="G25" s="70">
        <v>32</v>
      </c>
      <c r="H25" s="21">
        <v>31</v>
      </c>
      <c r="I25" s="80">
        <v>54</v>
      </c>
      <c r="J25" s="16">
        <v>46</v>
      </c>
      <c r="K25" s="21">
        <f t="shared" si="1"/>
        <v>-14</v>
      </c>
      <c r="L25" t="s">
        <v>610</v>
      </c>
    </row>
    <row r="26" spans="2:12" x14ac:dyDescent="0.3">
      <c r="B26" s="68" t="s">
        <v>68</v>
      </c>
      <c r="C26" s="78">
        <v>43</v>
      </c>
      <c r="D26" s="21">
        <v>32</v>
      </c>
      <c r="E26" s="70">
        <v>17</v>
      </c>
      <c r="F26" s="21">
        <v>14</v>
      </c>
      <c r="G26" s="70">
        <v>0</v>
      </c>
      <c r="H26" s="21">
        <v>0</v>
      </c>
      <c r="I26" s="80">
        <v>40</v>
      </c>
      <c r="J26" s="16">
        <v>39</v>
      </c>
      <c r="K26" s="21">
        <f t="shared" si="1"/>
        <v>15</v>
      </c>
      <c r="L26" s="82" t="s">
        <v>609</v>
      </c>
    </row>
    <row r="27" spans="2:12" x14ac:dyDescent="0.3">
      <c r="B27" s="68" t="s">
        <v>65</v>
      </c>
      <c r="C27" s="78">
        <v>344</v>
      </c>
      <c r="D27" s="21">
        <v>288</v>
      </c>
      <c r="E27" s="70">
        <v>319</v>
      </c>
      <c r="F27" s="21">
        <v>349</v>
      </c>
      <c r="G27" s="70">
        <v>258</v>
      </c>
      <c r="H27" s="21">
        <v>276</v>
      </c>
      <c r="I27" s="80">
        <v>21</v>
      </c>
      <c r="J27" s="16">
        <v>16</v>
      </c>
      <c r="K27" s="21">
        <f t="shared" si="1"/>
        <v>13</v>
      </c>
      <c r="L27" t="s">
        <v>608</v>
      </c>
    </row>
    <row r="28" spans="2:12" x14ac:dyDescent="0.3">
      <c r="B28" s="68" t="s">
        <v>69</v>
      </c>
      <c r="C28" s="78">
        <v>46</v>
      </c>
      <c r="D28" s="21">
        <v>40</v>
      </c>
      <c r="E28" s="70">
        <v>33</v>
      </c>
      <c r="F28" s="21">
        <v>36</v>
      </c>
      <c r="G28" s="70">
        <v>29</v>
      </c>
      <c r="H28" s="21">
        <v>24</v>
      </c>
      <c r="I28" s="80">
        <v>1</v>
      </c>
      <c r="J28" s="16">
        <v>0.2</v>
      </c>
      <c r="K28" s="21">
        <f t="shared" si="1"/>
        <v>8.8000000000000007</v>
      </c>
      <c r="L28" t="s">
        <v>611</v>
      </c>
    </row>
    <row r="29" spans="2:12" x14ac:dyDescent="0.3">
      <c r="B29" s="68" t="s">
        <v>70</v>
      </c>
      <c r="C29" s="78">
        <v>88</v>
      </c>
      <c r="D29" s="21">
        <v>65</v>
      </c>
      <c r="E29" s="70">
        <v>208</v>
      </c>
      <c r="F29" s="21">
        <v>208</v>
      </c>
      <c r="G29" s="70">
        <v>341</v>
      </c>
      <c r="H29" s="21">
        <v>337</v>
      </c>
      <c r="I29" s="80">
        <v>6</v>
      </c>
      <c r="J29" s="16">
        <v>3.6</v>
      </c>
      <c r="K29" s="21">
        <f t="shared" si="1"/>
        <v>29.4</v>
      </c>
      <c r="L29" t="s">
        <v>612</v>
      </c>
    </row>
    <row r="30" spans="2:12" x14ac:dyDescent="0.3">
      <c r="B30" s="68" t="s">
        <v>537</v>
      </c>
      <c r="C30" s="78">
        <v>64</v>
      </c>
      <c r="D30" s="21">
        <v>49</v>
      </c>
      <c r="E30" s="70">
        <v>34</v>
      </c>
      <c r="F30" s="21">
        <v>33</v>
      </c>
      <c r="G30" s="70">
        <v>246</v>
      </c>
      <c r="H30" s="21">
        <v>242</v>
      </c>
      <c r="I30" s="80">
        <v>0</v>
      </c>
      <c r="J30" s="16">
        <v>0.1</v>
      </c>
      <c r="K30" s="21">
        <f t="shared" si="1"/>
        <v>19.899999999999999</v>
      </c>
      <c r="L30" t="s">
        <v>613</v>
      </c>
    </row>
    <row r="31" spans="2:12" x14ac:dyDescent="0.3">
      <c r="B31" s="68" t="s">
        <v>539</v>
      </c>
      <c r="C31" s="78">
        <v>14</v>
      </c>
      <c r="D31" s="21">
        <v>11</v>
      </c>
      <c r="E31" s="70">
        <v>68</v>
      </c>
      <c r="F31" s="21">
        <v>68</v>
      </c>
      <c r="G31" s="70">
        <v>102</v>
      </c>
      <c r="H31" s="21">
        <v>81</v>
      </c>
      <c r="I31" s="80">
        <v>1</v>
      </c>
      <c r="J31" s="16">
        <v>0.3</v>
      </c>
      <c r="K31" s="21">
        <f t="shared" si="1"/>
        <v>24.7</v>
      </c>
      <c r="L31" t="s">
        <v>614</v>
      </c>
    </row>
    <row r="32" spans="2:12" x14ac:dyDescent="0.3">
      <c r="B32" s="69" t="s">
        <v>538</v>
      </c>
      <c r="C32" s="79">
        <v>44</v>
      </c>
      <c r="D32" s="22">
        <v>41</v>
      </c>
      <c r="E32" s="71">
        <v>35</v>
      </c>
      <c r="F32" s="22">
        <v>34</v>
      </c>
      <c r="G32" s="71">
        <v>21</v>
      </c>
      <c r="H32" s="22">
        <v>24</v>
      </c>
      <c r="I32" s="81">
        <v>12</v>
      </c>
      <c r="J32" s="18">
        <v>7</v>
      </c>
      <c r="K32" s="22">
        <f t="shared" si="1"/>
        <v>6</v>
      </c>
    </row>
    <row r="35" spans="2:10" ht="15" thickBot="1" x14ac:dyDescent="0.35"/>
    <row r="36" spans="2:10" x14ac:dyDescent="0.3">
      <c r="B36" s="97" t="s">
        <v>623</v>
      </c>
      <c r="C36" s="99" t="s">
        <v>584</v>
      </c>
      <c r="D36" s="84" t="s">
        <v>585</v>
      </c>
      <c r="E36" s="85" t="s">
        <v>586</v>
      </c>
      <c r="F36" s="83" t="s">
        <v>587</v>
      </c>
      <c r="G36" s="84" t="s">
        <v>588</v>
      </c>
      <c r="H36" s="85" t="s">
        <v>589</v>
      </c>
      <c r="I36" s="104" t="s">
        <v>590</v>
      </c>
      <c r="J36" s="85" t="s">
        <v>591</v>
      </c>
    </row>
    <row r="37" spans="2:10" x14ac:dyDescent="0.3">
      <c r="B37" s="98" t="s">
        <v>64</v>
      </c>
      <c r="C37" s="100">
        <v>17</v>
      </c>
      <c r="D37" s="87">
        <v>17</v>
      </c>
      <c r="E37" s="88">
        <v>2.4</v>
      </c>
      <c r="F37" s="86">
        <v>4</v>
      </c>
      <c r="G37" s="87">
        <v>4</v>
      </c>
      <c r="H37" s="88">
        <v>5.6</v>
      </c>
      <c r="I37" s="105">
        <v>49</v>
      </c>
      <c r="J37" s="88">
        <v>21.3</v>
      </c>
    </row>
    <row r="38" spans="2:10" x14ac:dyDescent="0.3">
      <c r="B38" s="98" t="s">
        <v>66</v>
      </c>
      <c r="C38" s="101">
        <v>-15</v>
      </c>
      <c r="D38" s="70">
        <f>C38</f>
        <v>-15</v>
      </c>
      <c r="E38" s="88">
        <v>-1.6</v>
      </c>
      <c r="F38" s="89">
        <v>3</v>
      </c>
      <c r="G38" s="70">
        <f>F38+17</f>
        <v>20</v>
      </c>
      <c r="H38" s="88">
        <v>2.1</v>
      </c>
      <c r="I38" s="106">
        <v>10</v>
      </c>
      <c r="J38" s="88">
        <v>6.5</v>
      </c>
    </row>
    <row r="39" spans="2:10" x14ac:dyDescent="0.3">
      <c r="B39" s="98" t="s">
        <v>67</v>
      </c>
      <c r="C39" s="101">
        <v>-39</v>
      </c>
      <c r="D39" s="70">
        <f>C39-5</f>
        <v>-44</v>
      </c>
      <c r="E39" s="88">
        <v>-44</v>
      </c>
      <c r="F39" s="89">
        <v>-33</v>
      </c>
      <c r="G39" s="70">
        <f>F39+16.7</f>
        <v>-16.3</v>
      </c>
      <c r="H39" s="88">
        <v>-35.9</v>
      </c>
      <c r="I39" s="106">
        <v>-17</v>
      </c>
      <c r="J39" s="88">
        <v>-11.4</v>
      </c>
    </row>
    <row r="40" spans="2:10" x14ac:dyDescent="0.3">
      <c r="B40" s="98" t="s">
        <v>68</v>
      </c>
      <c r="C40" s="101">
        <v>1</v>
      </c>
      <c r="D40" s="70">
        <v>1</v>
      </c>
      <c r="E40" s="110">
        <v>3.4</v>
      </c>
      <c r="F40" s="89">
        <v>3</v>
      </c>
      <c r="G40" s="70">
        <f>F40+3.2</f>
        <v>6.2</v>
      </c>
      <c r="H40" s="88">
        <v>12.1</v>
      </c>
      <c r="I40" s="106">
        <v>12</v>
      </c>
      <c r="J40" s="88">
        <v>-4.5</v>
      </c>
    </row>
    <row r="41" spans="2:10" x14ac:dyDescent="0.3">
      <c r="B41" s="98" t="s">
        <v>65</v>
      </c>
      <c r="C41" s="101">
        <v>9</v>
      </c>
      <c r="D41" s="70">
        <f>C41-10</f>
        <v>-1</v>
      </c>
      <c r="E41" s="88">
        <v>32.700000000000003</v>
      </c>
      <c r="F41" s="89">
        <v>-80</v>
      </c>
      <c r="G41" s="70">
        <f>F41+76.4</f>
        <v>-3.5999999999999943</v>
      </c>
      <c r="H41" s="88">
        <v>-5.5</v>
      </c>
      <c r="I41" s="106">
        <v>29</v>
      </c>
      <c r="J41" s="88">
        <v>22.8</v>
      </c>
    </row>
    <row r="42" spans="2:10" x14ac:dyDescent="0.3">
      <c r="B42" s="98" t="s">
        <v>69</v>
      </c>
      <c r="C42" s="101">
        <v>-34</v>
      </c>
      <c r="D42" s="70">
        <f>C42-2.4</f>
        <v>-36.4</v>
      </c>
      <c r="E42" s="88">
        <v>-37</v>
      </c>
      <c r="F42" s="89">
        <v>-48</v>
      </c>
      <c r="G42" s="70">
        <f>F42+19.6</f>
        <v>-28.4</v>
      </c>
      <c r="H42" s="88">
        <v>-29.3</v>
      </c>
      <c r="I42" s="106">
        <v>-13</v>
      </c>
      <c r="J42" s="88">
        <v>-25.2</v>
      </c>
    </row>
    <row r="43" spans="2:10" x14ac:dyDescent="0.3">
      <c r="B43" s="98" t="s">
        <v>70</v>
      </c>
      <c r="C43" s="101">
        <v>-50</v>
      </c>
      <c r="D43" s="70">
        <f>C43-6.5</f>
        <v>-56.5</v>
      </c>
      <c r="E43" s="88">
        <v>-45.8</v>
      </c>
      <c r="F43" s="89">
        <v>4</v>
      </c>
      <c r="G43" s="70">
        <f>F43+15.6</f>
        <v>19.600000000000001</v>
      </c>
      <c r="H43" s="88">
        <v>-4.5999999999999996</v>
      </c>
      <c r="I43" s="106">
        <v>-24</v>
      </c>
      <c r="J43" s="88">
        <v>-21.9</v>
      </c>
    </row>
    <row r="44" spans="2:10" x14ac:dyDescent="0.3">
      <c r="B44" s="98" t="s">
        <v>537</v>
      </c>
      <c r="C44" s="101">
        <v>-72</v>
      </c>
      <c r="D44" s="70">
        <f>C44-2.7</f>
        <v>-74.7</v>
      </c>
      <c r="E44" s="88">
        <v>-52.9</v>
      </c>
      <c r="F44" s="89">
        <v>6</v>
      </c>
      <c r="G44" s="70">
        <f>F44+34.3</f>
        <v>40.299999999999997</v>
      </c>
      <c r="H44" s="88">
        <v>6.8</v>
      </c>
      <c r="I44" s="106">
        <v>9</v>
      </c>
      <c r="J44" s="88">
        <v>-2.9</v>
      </c>
    </row>
    <row r="45" spans="2:10" x14ac:dyDescent="0.3">
      <c r="B45" s="98" t="s">
        <v>539</v>
      </c>
      <c r="C45" s="101">
        <v>9</v>
      </c>
      <c r="D45" s="70">
        <f>C45-0.4</f>
        <v>8.6</v>
      </c>
      <c r="E45" s="88">
        <v>24.3</v>
      </c>
      <c r="F45" s="89">
        <v>62</v>
      </c>
      <c r="G45" s="70">
        <f>F45+1.1</f>
        <v>63.1</v>
      </c>
      <c r="H45" s="88">
        <v>35.799999999999997</v>
      </c>
      <c r="I45" s="106">
        <v>21</v>
      </c>
      <c r="J45" s="88">
        <v>16.2</v>
      </c>
    </row>
    <row r="46" spans="2:10" x14ac:dyDescent="0.3">
      <c r="B46" s="73" t="s">
        <v>538</v>
      </c>
      <c r="C46" s="103">
        <v>4</v>
      </c>
      <c r="D46" s="71">
        <v>4</v>
      </c>
      <c r="E46" s="91">
        <v>3</v>
      </c>
      <c r="F46" s="90">
        <v>15</v>
      </c>
      <c r="G46" s="71">
        <f>F46+2</f>
        <v>17</v>
      </c>
      <c r="H46" s="91">
        <v>12</v>
      </c>
      <c r="I46" s="107">
        <v>5</v>
      </c>
      <c r="J46" s="91">
        <v>-0.8</v>
      </c>
    </row>
    <row r="47" spans="2:10" x14ac:dyDescent="0.3">
      <c r="B47" s="72" t="s">
        <v>600</v>
      </c>
      <c r="C47" s="92">
        <f>SUM(C37:C46)</f>
        <v>-170</v>
      </c>
      <c r="D47" s="72">
        <f t="shared" ref="D47:J47" si="2">SUM(D37:D46)</f>
        <v>-197.00000000000003</v>
      </c>
      <c r="E47" s="93">
        <f t="shared" si="2"/>
        <v>-115.50000000000001</v>
      </c>
      <c r="F47" s="92">
        <f t="shared" si="2"/>
        <v>-64</v>
      </c>
      <c r="G47" s="72">
        <f t="shared" si="2"/>
        <v>121.9</v>
      </c>
      <c r="H47" s="108">
        <f t="shared" si="2"/>
        <v>-0.90000000000001279</v>
      </c>
      <c r="I47" s="92">
        <f t="shared" si="2"/>
        <v>81</v>
      </c>
      <c r="J47" s="108">
        <f t="shared" si="2"/>
        <v>0.10000000000000386</v>
      </c>
    </row>
    <row r="48" spans="2:10" ht="15" thickBot="1" x14ac:dyDescent="0.35">
      <c r="B48" s="73" t="s">
        <v>592</v>
      </c>
      <c r="C48" s="94" t="s">
        <v>595</v>
      </c>
      <c r="D48" s="95" t="s">
        <v>596</v>
      </c>
      <c r="E48" s="96">
        <f>D47-E47</f>
        <v>-81.500000000000014</v>
      </c>
      <c r="F48" s="94" t="s">
        <v>597</v>
      </c>
      <c r="G48" s="95" t="s">
        <v>598</v>
      </c>
      <c r="H48" s="96">
        <f>G47-H47</f>
        <v>122.80000000000001</v>
      </c>
      <c r="I48" s="94" t="s">
        <v>599</v>
      </c>
      <c r="J48" s="96">
        <f>I47</f>
        <v>81</v>
      </c>
    </row>
    <row r="52" spans="2:12" x14ac:dyDescent="0.3">
      <c r="B52" s="129" t="s">
        <v>604</v>
      </c>
      <c r="C52" s="126"/>
      <c r="D52" s="127"/>
      <c r="E52" s="127"/>
      <c r="F52" s="127"/>
      <c r="G52" s="127"/>
      <c r="H52" s="127"/>
      <c r="I52" s="127"/>
      <c r="J52" s="128"/>
    </row>
    <row r="53" spans="2:12" x14ac:dyDescent="0.3">
      <c r="B53" s="130"/>
      <c r="C53" s="76" t="s">
        <v>134</v>
      </c>
      <c r="D53" s="77" t="s">
        <v>134</v>
      </c>
      <c r="E53" s="65" t="s">
        <v>3</v>
      </c>
      <c r="F53" s="77" t="s">
        <v>3</v>
      </c>
      <c r="G53" s="65" t="s">
        <v>141</v>
      </c>
      <c r="H53" s="77" t="s">
        <v>141</v>
      </c>
      <c r="I53" s="75" t="s">
        <v>533</v>
      </c>
      <c r="J53" s="66" t="s">
        <v>533</v>
      </c>
      <c r="K53" s="67" t="s">
        <v>605</v>
      </c>
      <c r="L53" s="67" t="s">
        <v>625</v>
      </c>
    </row>
    <row r="54" spans="2:12" x14ac:dyDescent="0.3">
      <c r="B54" s="68" t="s">
        <v>64</v>
      </c>
      <c r="C54" s="78">
        <v>183</v>
      </c>
      <c r="D54" s="21">
        <f>72.2+110.3</f>
        <v>182.5</v>
      </c>
      <c r="E54" s="70">
        <v>177</v>
      </c>
      <c r="F54" s="21">
        <v>178.9</v>
      </c>
      <c r="G54" s="70">
        <v>144</v>
      </c>
      <c r="H54" s="21">
        <v>146.4</v>
      </c>
      <c r="I54" s="80">
        <v>58</v>
      </c>
      <c r="J54" s="16">
        <v>55.9</v>
      </c>
      <c r="K54" s="20">
        <f>C54+E54+G54+I54-D54-F54-H54-J54</f>
        <v>-1.7000000000000099</v>
      </c>
      <c r="L54" s="111">
        <f>-K54/(I54+G54+E54+C54)</f>
        <v>3.0249110320284874E-3</v>
      </c>
    </row>
    <row r="55" spans="2:12" x14ac:dyDescent="0.3">
      <c r="B55" s="68" t="s">
        <v>66</v>
      </c>
      <c r="C55" s="78">
        <v>201</v>
      </c>
      <c r="D55" s="21">
        <f>127.9+69.9</f>
        <v>197.8</v>
      </c>
      <c r="E55" s="70">
        <v>188</v>
      </c>
      <c r="F55" s="21">
        <v>191</v>
      </c>
      <c r="G55" s="70">
        <v>28</v>
      </c>
      <c r="H55" s="21">
        <v>27.5</v>
      </c>
      <c r="I55" s="80">
        <v>34</v>
      </c>
      <c r="J55" s="16">
        <v>43.5</v>
      </c>
      <c r="K55" s="21">
        <f t="shared" ref="K55:K63" si="3">C55+E55+G55+I55-D55-F55-H55-J55</f>
        <v>-8.8000000000000114</v>
      </c>
      <c r="L55" s="111">
        <f t="shared" ref="L55:L63" si="4">-K55/(I55+G55+E55+C55)</f>
        <v>1.9512195121951244E-2</v>
      </c>
    </row>
    <row r="56" spans="2:12" x14ac:dyDescent="0.3">
      <c r="B56" s="68" t="s">
        <v>67</v>
      </c>
      <c r="C56" s="78">
        <v>206</v>
      </c>
      <c r="D56" s="21">
        <f>150.4+82.3</f>
        <v>232.7</v>
      </c>
      <c r="E56" s="70">
        <v>128</v>
      </c>
      <c r="F56" s="21">
        <v>124.3</v>
      </c>
      <c r="G56" s="70">
        <v>32</v>
      </c>
      <c r="H56" s="21">
        <v>31.4</v>
      </c>
      <c r="I56" s="80">
        <v>54</v>
      </c>
      <c r="J56" s="16">
        <v>46.2</v>
      </c>
      <c r="K56" s="21">
        <f t="shared" si="3"/>
        <v>-14.599999999999987</v>
      </c>
      <c r="L56" s="111">
        <f t="shared" si="4"/>
        <v>3.476190476190473E-2</v>
      </c>
    </row>
    <row r="57" spans="2:12" x14ac:dyDescent="0.3">
      <c r="B57" s="68" t="s">
        <v>68</v>
      </c>
      <c r="C57" s="78">
        <v>43</v>
      </c>
      <c r="D57" s="21">
        <f>15.5+28.3</f>
        <v>43.8</v>
      </c>
      <c r="E57" s="70">
        <v>17</v>
      </c>
      <c r="F57" s="21">
        <f>17.2</f>
        <v>17.2</v>
      </c>
      <c r="G57" s="70">
        <v>0</v>
      </c>
      <c r="H57" s="21">
        <v>0</v>
      </c>
      <c r="I57" s="80">
        <v>40</v>
      </c>
      <c r="J57" s="16">
        <v>39.1</v>
      </c>
      <c r="K57" s="21">
        <f t="shared" si="3"/>
        <v>-0.10000000000000142</v>
      </c>
      <c r="L57" s="111">
        <f t="shared" si="4"/>
        <v>1.0000000000000141E-3</v>
      </c>
    </row>
    <row r="58" spans="2:12" x14ac:dyDescent="0.3">
      <c r="B58" s="68" t="s">
        <v>65</v>
      </c>
      <c r="C58" s="78">
        <v>344</v>
      </c>
      <c r="D58" s="21">
        <f>228.2+124.1</f>
        <v>352.29999999999995</v>
      </c>
      <c r="E58" s="70">
        <v>319</v>
      </c>
      <c r="F58" s="21">
        <v>349</v>
      </c>
      <c r="G58" s="70">
        <v>258</v>
      </c>
      <c r="H58" s="21">
        <v>277</v>
      </c>
      <c r="I58" s="80">
        <v>21</v>
      </c>
      <c r="J58" s="16">
        <v>16</v>
      </c>
      <c r="K58" s="21">
        <f t="shared" si="3"/>
        <v>-52.299999999999955</v>
      </c>
      <c r="L58" s="111">
        <f t="shared" si="4"/>
        <v>5.5520169851379995E-2</v>
      </c>
    </row>
    <row r="59" spans="2:12" x14ac:dyDescent="0.3">
      <c r="B59" s="68" t="s">
        <v>69</v>
      </c>
      <c r="C59" s="78">
        <v>46</v>
      </c>
      <c r="D59" s="21">
        <f>30.5+16.6</f>
        <v>47.1</v>
      </c>
      <c r="E59" s="70">
        <v>33</v>
      </c>
      <c r="F59" s="21">
        <v>35.6</v>
      </c>
      <c r="G59" s="70">
        <v>29</v>
      </c>
      <c r="H59" s="21">
        <v>29.8</v>
      </c>
      <c r="I59" s="80">
        <v>1</v>
      </c>
      <c r="J59" s="16">
        <v>0.2</v>
      </c>
      <c r="K59" s="21">
        <f t="shared" si="3"/>
        <v>-3.7000000000000037</v>
      </c>
      <c r="L59" s="111">
        <f t="shared" si="4"/>
        <v>3.3944954128440404E-2</v>
      </c>
    </row>
    <row r="60" spans="2:12" x14ac:dyDescent="0.3">
      <c r="B60" s="68" t="s">
        <v>70</v>
      </c>
      <c r="C60" s="78">
        <v>88</v>
      </c>
      <c r="D60" s="21">
        <f>57+31.2</f>
        <v>88.2</v>
      </c>
      <c r="E60" s="70">
        <v>208</v>
      </c>
      <c r="F60" s="21">
        <v>208.5</v>
      </c>
      <c r="G60" s="70">
        <v>341</v>
      </c>
      <c r="H60" s="21">
        <v>345.1</v>
      </c>
      <c r="I60" s="80">
        <v>6</v>
      </c>
      <c r="J60" s="16">
        <v>3.6</v>
      </c>
      <c r="K60" s="21">
        <f t="shared" si="3"/>
        <v>-2.4000000000000683</v>
      </c>
      <c r="L60" s="111">
        <f t="shared" si="4"/>
        <v>3.7325038880249898E-3</v>
      </c>
    </row>
    <row r="61" spans="2:12" x14ac:dyDescent="0.3">
      <c r="B61" s="68" t="s">
        <v>537</v>
      </c>
      <c r="C61" s="78">
        <v>64</v>
      </c>
      <c r="D61" s="21">
        <f>40+21.8</f>
        <v>61.8</v>
      </c>
      <c r="E61" s="70">
        <v>34</v>
      </c>
      <c r="F61" s="21">
        <v>33.4</v>
      </c>
      <c r="G61" s="70">
        <v>246</v>
      </c>
      <c r="H61" s="21">
        <v>242.6</v>
      </c>
      <c r="I61" s="80">
        <v>0</v>
      </c>
      <c r="J61" s="16">
        <v>0.1</v>
      </c>
      <c r="K61" s="21">
        <f t="shared" si="3"/>
        <v>6.099999999999989</v>
      </c>
      <c r="L61" s="111">
        <f t="shared" si="4"/>
        <v>-1.7732558139534851E-2</v>
      </c>
    </row>
    <row r="62" spans="2:12" x14ac:dyDescent="0.3">
      <c r="B62" s="68" t="s">
        <v>539</v>
      </c>
      <c r="C62" s="78">
        <v>14</v>
      </c>
      <c r="D62" s="21">
        <f>8.5+4.6</f>
        <v>13.1</v>
      </c>
      <c r="E62" s="70">
        <v>68</v>
      </c>
      <c r="F62" s="21">
        <v>68.2</v>
      </c>
      <c r="G62" s="70">
        <v>102</v>
      </c>
      <c r="H62" s="21">
        <v>100.7</v>
      </c>
      <c r="I62" s="80">
        <v>1</v>
      </c>
      <c r="J62" s="16">
        <v>0.3</v>
      </c>
      <c r="K62" s="21">
        <f t="shared" si="3"/>
        <v>2.7</v>
      </c>
      <c r="L62" s="111">
        <f t="shared" si="4"/>
        <v>-1.4594594594594595E-2</v>
      </c>
    </row>
    <row r="63" spans="2:12" x14ac:dyDescent="0.3">
      <c r="B63" s="69" t="s">
        <v>538</v>
      </c>
      <c r="C63" s="79">
        <v>44</v>
      </c>
      <c r="D63" s="22">
        <f>14.3+26.3</f>
        <v>40.6</v>
      </c>
      <c r="E63" s="71">
        <v>35</v>
      </c>
      <c r="F63" s="22">
        <v>33.799999999999997</v>
      </c>
      <c r="G63" s="71">
        <v>21</v>
      </c>
      <c r="H63" s="22">
        <v>24.1</v>
      </c>
      <c r="I63" s="81">
        <v>12</v>
      </c>
      <c r="J63" s="18">
        <v>6.4</v>
      </c>
      <c r="K63" s="22">
        <f t="shared" si="3"/>
        <v>7.1000000000000068</v>
      </c>
      <c r="L63" s="111">
        <f t="shared" si="4"/>
        <v>-6.3392857142857209E-2</v>
      </c>
    </row>
    <row r="64" spans="2:12" x14ac:dyDescent="0.3">
      <c r="K64" s="68">
        <f>SUM(K54:K63)</f>
        <v>-67.700000000000031</v>
      </c>
      <c r="L64" t="s">
        <v>624</v>
      </c>
    </row>
    <row r="66" spans="2:10" x14ac:dyDescent="0.3">
      <c r="B66" s="129" t="s">
        <v>604</v>
      </c>
      <c r="C66" s="126"/>
      <c r="D66" s="127"/>
      <c r="E66" s="127"/>
      <c r="F66" s="127"/>
      <c r="G66" s="127"/>
      <c r="H66" s="127"/>
      <c r="I66" s="127"/>
      <c r="J66" s="128"/>
    </row>
    <row r="67" spans="2:10" x14ac:dyDescent="0.3">
      <c r="B67" s="130"/>
      <c r="C67" s="76" t="s">
        <v>134</v>
      </c>
      <c r="D67" s="77" t="s">
        <v>134</v>
      </c>
      <c r="E67" s="65" t="s">
        <v>3</v>
      </c>
      <c r="F67" s="77" t="s">
        <v>3</v>
      </c>
      <c r="G67" s="65" t="s">
        <v>141</v>
      </c>
      <c r="H67" s="77" t="s">
        <v>141</v>
      </c>
      <c r="I67" s="75" t="s">
        <v>533</v>
      </c>
      <c r="J67" s="66" t="s">
        <v>533</v>
      </c>
    </row>
    <row r="68" spans="2:10" x14ac:dyDescent="0.3">
      <c r="B68" s="68" t="s">
        <v>64</v>
      </c>
      <c r="C68" s="78">
        <v>183</v>
      </c>
      <c r="D68" s="21">
        <f>C68*1.05</f>
        <v>192.15</v>
      </c>
      <c r="E68" s="70">
        <v>177</v>
      </c>
      <c r="F68" s="21">
        <f>E68*1.05</f>
        <v>185.85</v>
      </c>
      <c r="G68" s="70">
        <v>144</v>
      </c>
      <c r="H68" s="21">
        <v>146.4</v>
      </c>
      <c r="I68" s="80">
        <v>58</v>
      </c>
      <c r="J68" s="16">
        <v>55.9</v>
      </c>
    </row>
    <row r="69" spans="2:10" x14ac:dyDescent="0.3">
      <c r="B69" s="68" t="s">
        <v>66</v>
      </c>
      <c r="C69" s="78">
        <v>201</v>
      </c>
      <c r="D69" s="21">
        <f t="shared" ref="D69:D77" si="5">C69*1.05</f>
        <v>211.05</v>
      </c>
      <c r="E69" s="70">
        <v>188</v>
      </c>
      <c r="F69" s="21">
        <f t="shared" ref="F69:F77" si="6">E69*1.05</f>
        <v>197.4</v>
      </c>
      <c r="G69" s="70">
        <v>28</v>
      </c>
      <c r="H69" s="21">
        <v>27.5</v>
      </c>
      <c r="I69" s="80">
        <v>34</v>
      </c>
      <c r="J69" s="16">
        <v>43.5</v>
      </c>
    </row>
    <row r="70" spans="2:10" x14ac:dyDescent="0.3">
      <c r="B70" s="68" t="s">
        <v>67</v>
      </c>
      <c r="C70" s="78">
        <v>206</v>
      </c>
      <c r="D70" s="21">
        <f t="shared" si="5"/>
        <v>216.3</v>
      </c>
      <c r="E70" s="70">
        <v>128</v>
      </c>
      <c r="F70" s="21">
        <f t="shared" si="6"/>
        <v>134.4</v>
      </c>
      <c r="G70" s="70">
        <v>32</v>
      </c>
      <c r="H70" s="21">
        <v>31.4</v>
      </c>
      <c r="I70" s="80">
        <v>54</v>
      </c>
      <c r="J70" s="16">
        <v>46.2</v>
      </c>
    </row>
    <row r="71" spans="2:10" x14ac:dyDescent="0.3">
      <c r="B71" s="68" t="s">
        <v>68</v>
      </c>
      <c r="C71" s="78">
        <v>43</v>
      </c>
      <c r="D71" s="21">
        <f t="shared" si="5"/>
        <v>45.15</v>
      </c>
      <c r="E71" s="70">
        <v>17</v>
      </c>
      <c r="F71" s="21">
        <f t="shared" si="6"/>
        <v>17.850000000000001</v>
      </c>
      <c r="G71" s="70">
        <v>0</v>
      </c>
      <c r="H71" s="21">
        <v>0</v>
      </c>
      <c r="I71" s="80">
        <v>40</v>
      </c>
      <c r="J71" s="16">
        <v>39.1</v>
      </c>
    </row>
    <row r="72" spans="2:10" x14ac:dyDescent="0.3">
      <c r="B72" s="68" t="s">
        <v>65</v>
      </c>
      <c r="C72" s="78">
        <v>344</v>
      </c>
      <c r="D72" s="21">
        <f t="shared" si="5"/>
        <v>361.2</v>
      </c>
      <c r="E72" s="70">
        <v>319</v>
      </c>
      <c r="F72" s="21">
        <f t="shared" si="6"/>
        <v>334.95</v>
      </c>
      <c r="G72" s="70">
        <v>258</v>
      </c>
      <c r="H72" s="21">
        <v>258</v>
      </c>
      <c r="I72" s="80">
        <v>21</v>
      </c>
      <c r="J72" s="16">
        <v>16</v>
      </c>
    </row>
    <row r="73" spans="2:10" x14ac:dyDescent="0.3">
      <c r="B73" s="68" t="s">
        <v>69</v>
      </c>
      <c r="C73" s="78">
        <v>46</v>
      </c>
      <c r="D73" s="21">
        <f t="shared" si="5"/>
        <v>48.300000000000004</v>
      </c>
      <c r="E73" s="70">
        <v>33</v>
      </c>
      <c r="F73" s="21">
        <f t="shared" si="6"/>
        <v>34.65</v>
      </c>
      <c r="G73" s="70">
        <v>29</v>
      </c>
      <c r="H73" s="21">
        <v>29.8</v>
      </c>
      <c r="I73" s="80">
        <v>1</v>
      </c>
      <c r="J73" s="16">
        <v>0.2</v>
      </c>
    </row>
    <row r="74" spans="2:10" x14ac:dyDescent="0.3">
      <c r="B74" s="68" t="s">
        <v>70</v>
      </c>
      <c r="C74" s="78">
        <v>88</v>
      </c>
      <c r="D74" s="21">
        <f t="shared" si="5"/>
        <v>92.4</v>
      </c>
      <c r="E74" s="70">
        <v>208</v>
      </c>
      <c r="F74" s="21">
        <f t="shared" si="6"/>
        <v>218.4</v>
      </c>
      <c r="G74" s="70">
        <v>341</v>
      </c>
      <c r="H74" s="21">
        <v>345.1</v>
      </c>
      <c r="I74" s="80">
        <v>6</v>
      </c>
      <c r="J74" s="16">
        <v>3.6</v>
      </c>
    </row>
    <row r="75" spans="2:10" x14ac:dyDescent="0.3">
      <c r="B75" s="68" t="s">
        <v>537</v>
      </c>
      <c r="C75" s="78">
        <v>64</v>
      </c>
      <c r="D75" s="21">
        <f t="shared" si="5"/>
        <v>67.2</v>
      </c>
      <c r="E75" s="70">
        <v>34</v>
      </c>
      <c r="F75" s="21">
        <f t="shared" si="6"/>
        <v>35.700000000000003</v>
      </c>
      <c r="G75" s="70">
        <v>246</v>
      </c>
      <c r="H75" s="21">
        <v>242.6</v>
      </c>
      <c r="I75" s="80">
        <v>0</v>
      </c>
      <c r="J75" s="16">
        <v>0.1</v>
      </c>
    </row>
    <row r="76" spans="2:10" x14ac:dyDescent="0.3">
      <c r="B76" s="68" t="s">
        <v>539</v>
      </c>
      <c r="C76" s="78">
        <v>14</v>
      </c>
      <c r="D76" s="21">
        <f t="shared" si="5"/>
        <v>14.700000000000001</v>
      </c>
      <c r="E76" s="70">
        <v>68</v>
      </c>
      <c r="F76" s="21">
        <f t="shared" si="6"/>
        <v>71.400000000000006</v>
      </c>
      <c r="G76" s="70">
        <v>102</v>
      </c>
      <c r="H76" s="21">
        <v>100.7</v>
      </c>
      <c r="I76" s="80">
        <v>1</v>
      </c>
      <c r="J76" s="16">
        <v>0.3</v>
      </c>
    </row>
    <row r="77" spans="2:10" x14ac:dyDescent="0.3">
      <c r="B77" s="69" t="s">
        <v>538</v>
      </c>
      <c r="C77" s="79">
        <v>44</v>
      </c>
      <c r="D77" s="21">
        <f t="shared" si="5"/>
        <v>46.2</v>
      </c>
      <c r="E77" s="71">
        <v>35</v>
      </c>
      <c r="F77" s="21">
        <f t="shared" si="6"/>
        <v>36.75</v>
      </c>
      <c r="G77" s="71">
        <v>21</v>
      </c>
      <c r="H77" s="22">
        <v>24.1</v>
      </c>
      <c r="I77" s="81">
        <v>12</v>
      </c>
      <c r="J77" s="18">
        <v>6.4</v>
      </c>
    </row>
    <row r="79" spans="2:10" x14ac:dyDescent="0.3">
      <c r="B79" s="26" t="s">
        <v>626</v>
      </c>
      <c r="C79" s="68" t="s">
        <v>64</v>
      </c>
      <c r="D79" s="109">
        <f>D68/D54</f>
        <v>1.0528767123287672</v>
      </c>
      <c r="F79" s="109">
        <f>F68/F54</f>
        <v>1.038848518725545</v>
      </c>
      <c r="H79" s="109"/>
    </row>
    <row r="80" spans="2:10" x14ac:dyDescent="0.3">
      <c r="C80" s="68" t="s">
        <v>66</v>
      </c>
      <c r="D80" s="109">
        <f t="shared" ref="D80:D87" si="7">D69/D55</f>
        <v>1.0669868554095046</v>
      </c>
      <c r="F80" s="109">
        <f t="shared" ref="F80:H88" si="8">F69/F55</f>
        <v>1.0335078534031414</v>
      </c>
    </row>
    <row r="81" spans="2:14" x14ac:dyDescent="0.3">
      <c r="C81" s="68" t="s">
        <v>67</v>
      </c>
      <c r="D81" s="109">
        <f t="shared" si="7"/>
        <v>0.92952299097550506</v>
      </c>
      <c r="F81" s="109">
        <f t="shared" si="8"/>
        <v>1.0812550281576832</v>
      </c>
    </row>
    <row r="82" spans="2:14" x14ac:dyDescent="0.3">
      <c r="C82" s="68" t="s">
        <v>68</v>
      </c>
      <c r="D82" s="109">
        <f t="shared" si="7"/>
        <v>1.0308219178082192</v>
      </c>
      <c r="F82" s="109">
        <f t="shared" si="8"/>
        <v>1.0377906976744187</v>
      </c>
    </row>
    <row r="83" spans="2:14" x14ac:dyDescent="0.3">
      <c r="C83" s="68" t="s">
        <v>65</v>
      </c>
      <c r="D83" s="109">
        <f t="shared" si="7"/>
        <v>1.0252625603179111</v>
      </c>
      <c r="F83" s="109">
        <f t="shared" si="8"/>
        <v>0.95974212034383954</v>
      </c>
      <c r="G83" s="109"/>
      <c r="H83" s="109">
        <f t="shared" si="8"/>
        <v>0.93140794223826717</v>
      </c>
    </row>
    <row r="84" spans="2:14" x14ac:dyDescent="0.3">
      <c r="C84" s="68" t="s">
        <v>69</v>
      </c>
      <c r="D84" s="109">
        <f t="shared" si="7"/>
        <v>1.0254777070063694</v>
      </c>
      <c r="F84" s="109">
        <f t="shared" si="8"/>
        <v>0.973314606741573</v>
      </c>
    </row>
    <row r="85" spans="2:14" x14ac:dyDescent="0.3">
      <c r="C85" s="68" t="s">
        <v>70</v>
      </c>
      <c r="D85" s="109">
        <f t="shared" si="7"/>
        <v>1.0476190476190477</v>
      </c>
      <c r="F85" s="109">
        <f t="shared" si="8"/>
        <v>1.0474820143884893</v>
      </c>
    </row>
    <row r="86" spans="2:14" x14ac:dyDescent="0.3">
      <c r="C86" s="68" t="s">
        <v>537</v>
      </c>
      <c r="D86" s="109">
        <f t="shared" si="7"/>
        <v>1.0873786407766992</v>
      </c>
      <c r="F86" s="109">
        <f t="shared" si="8"/>
        <v>1.068862275449102</v>
      </c>
    </row>
    <row r="87" spans="2:14" x14ac:dyDescent="0.3">
      <c r="C87" s="68" t="s">
        <v>539</v>
      </c>
      <c r="D87" s="109">
        <f t="shared" si="7"/>
        <v>1.1221374045801529</v>
      </c>
      <c r="F87" s="109">
        <f t="shared" si="8"/>
        <v>1.0469208211143695</v>
      </c>
    </row>
    <row r="88" spans="2:14" x14ac:dyDescent="0.3">
      <c r="C88" s="69" t="s">
        <v>538</v>
      </c>
      <c r="D88" s="109">
        <f>D77/D63</f>
        <v>1.1379310344827587</v>
      </c>
      <c r="F88" s="109">
        <f t="shared" si="8"/>
        <v>1.0872781065088759</v>
      </c>
    </row>
    <row r="89" spans="2:14" x14ac:dyDescent="0.3">
      <c r="D89" s="109"/>
    </row>
    <row r="90" spans="2:14" x14ac:dyDescent="0.3">
      <c r="B90" s="124" t="s">
        <v>627</v>
      </c>
      <c r="C90" s="126"/>
      <c r="D90" s="127"/>
      <c r="E90" s="127"/>
      <c r="F90" s="127"/>
      <c r="G90" s="127"/>
      <c r="H90" s="127"/>
      <c r="I90" s="127"/>
      <c r="J90" s="128"/>
    </row>
    <row r="91" spans="2:14" x14ac:dyDescent="0.3">
      <c r="B91" s="125"/>
      <c r="C91" s="76" t="s">
        <v>134</v>
      </c>
      <c r="D91" s="77" t="s">
        <v>134</v>
      </c>
      <c r="E91" s="112" t="s">
        <v>576</v>
      </c>
      <c r="F91" s="65" t="s">
        <v>3</v>
      </c>
      <c r="G91" s="77" t="s">
        <v>3</v>
      </c>
      <c r="H91" s="112" t="s">
        <v>576</v>
      </c>
      <c r="I91" s="65" t="s">
        <v>141</v>
      </c>
      <c r="J91" s="77" t="s">
        <v>141</v>
      </c>
      <c r="K91" s="66" t="s">
        <v>576</v>
      </c>
      <c r="L91" s="75" t="s">
        <v>533</v>
      </c>
      <c r="M91" s="66" t="s">
        <v>533</v>
      </c>
      <c r="N91" s="66" t="s">
        <v>576</v>
      </c>
    </row>
    <row r="92" spans="2:14" x14ac:dyDescent="0.3">
      <c r="B92" s="68" t="s">
        <v>64</v>
      </c>
      <c r="C92" s="78">
        <v>183</v>
      </c>
      <c r="D92" s="21">
        <f>72.2+110.3</f>
        <v>182.5</v>
      </c>
      <c r="E92" s="109">
        <f>D92/C92-1</f>
        <v>-2.732240437158473E-3</v>
      </c>
      <c r="F92" s="70">
        <v>177</v>
      </c>
      <c r="G92" s="21">
        <v>178.9</v>
      </c>
      <c r="H92" s="109">
        <f>G92/F92-1</f>
        <v>1.0734463276836248E-2</v>
      </c>
      <c r="I92" s="70">
        <v>144</v>
      </c>
      <c r="J92" s="21">
        <v>146.4</v>
      </c>
      <c r="K92" s="109">
        <f>J92/I92-1</f>
        <v>1.6666666666666607E-2</v>
      </c>
      <c r="L92" s="80">
        <v>58</v>
      </c>
      <c r="M92" s="16">
        <v>55.9</v>
      </c>
      <c r="N92" s="109">
        <f>M92/L92-1</f>
        <v>-3.6206896551724155E-2</v>
      </c>
    </row>
    <row r="93" spans="2:14" x14ac:dyDescent="0.3">
      <c r="B93" s="68" t="s">
        <v>66</v>
      </c>
      <c r="C93" s="78">
        <v>201</v>
      </c>
      <c r="D93" s="21">
        <f>136.8+74.8</f>
        <v>211.60000000000002</v>
      </c>
      <c r="E93" s="30">
        <f t="shared" ref="E93:E101" si="9">D93/C93-1</f>
        <v>5.2736318407960336E-2</v>
      </c>
      <c r="F93" s="70">
        <v>188</v>
      </c>
      <c r="G93" s="21">
        <v>196.8</v>
      </c>
      <c r="H93" s="30">
        <f t="shared" ref="H93:H101" si="10">G93/F93-1</f>
        <v>4.6808510638297829E-2</v>
      </c>
      <c r="I93" s="70">
        <v>28</v>
      </c>
      <c r="J93" s="21">
        <v>27.5</v>
      </c>
      <c r="K93" s="109">
        <f t="shared" ref="K93:K101" si="11">J93/I93-1</f>
        <v>-1.7857142857142905E-2</v>
      </c>
      <c r="L93" s="80">
        <v>34</v>
      </c>
      <c r="M93" s="16">
        <v>43.5</v>
      </c>
    </row>
    <row r="94" spans="2:14" x14ac:dyDescent="0.3">
      <c r="B94" s="68" t="s">
        <v>67</v>
      </c>
      <c r="C94" s="78">
        <v>206</v>
      </c>
      <c r="D94" s="21">
        <f>150.4+82.3</f>
        <v>232.7</v>
      </c>
      <c r="E94" s="113">
        <f t="shared" si="9"/>
        <v>0.12961165048543677</v>
      </c>
      <c r="F94" s="70">
        <v>128</v>
      </c>
      <c r="G94" s="21">
        <v>134.19999999999999</v>
      </c>
      <c r="H94" s="30">
        <f t="shared" si="10"/>
        <v>4.8437499999999911E-2</v>
      </c>
      <c r="I94" s="70">
        <v>32</v>
      </c>
      <c r="J94" s="21">
        <v>31.4</v>
      </c>
      <c r="K94" s="109">
        <f t="shared" si="11"/>
        <v>-1.8750000000000044E-2</v>
      </c>
      <c r="L94" s="80">
        <v>54</v>
      </c>
      <c r="M94" s="16">
        <v>46.2</v>
      </c>
    </row>
    <row r="95" spans="2:14" x14ac:dyDescent="0.3">
      <c r="B95" s="68" t="s">
        <v>68</v>
      </c>
      <c r="C95" s="78">
        <v>43</v>
      </c>
      <c r="D95" s="21">
        <f>29.1+16</f>
        <v>45.1</v>
      </c>
      <c r="E95" s="30">
        <f t="shared" si="9"/>
        <v>4.8837209302325713E-2</v>
      </c>
      <c r="F95" s="70">
        <v>17</v>
      </c>
      <c r="G95" s="21">
        <f>17.9</f>
        <v>17.899999999999999</v>
      </c>
      <c r="H95" s="30">
        <f t="shared" si="10"/>
        <v>5.2941176470588047E-2</v>
      </c>
      <c r="I95" s="70">
        <v>0</v>
      </c>
      <c r="J95" s="21">
        <v>0</v>
      </c>
      <c r="K95" s="109"/>
      <c r="L95" s="80">
        <v>40</v>
      </c>
      <c r="M95" s="16">
        <v>39.1</v>
      </c>
    </row>
    <row r="96" spans="2:14" x14ac:dyDescent="0.3">
      <c r="B96" s="68" t="s">
        <v>65</v>
      </c>
      <c r="C96" s="78">
        <v>344</v>
      </c>
      <c r="D96" s="21">
        <f>235+128</f>
        <v>363</v>
      </c>
      <c r="E96" s="109">
        <f t="shared" si="9"/>
        <v>5.5232558139534982E-2</v>
      </c>
      <c r="F96" s="70">
        <v>319</v>
      </c>
      <c r="G96" s="21">
        <v>335.2</v>
      </c>
      <c r="H96" s="30">
        <f t="shared" si="10"/>
        <v>5.0783699059561149E-2</v>
      </c>
      <c r="I96" s="70">
        <v>258</v>
      </c>
      <c r="J96" s="21">
        <v>257.60000000000002</v>
      </c>
      <c r="K96" s="109">
        <f t="shared" si="11"/>
        <v>-1.5503875968991832E-3</v>
      </c>
      <c r="L96" s="80">
        <v>21</v>
      </c>
      <c r="M96" s="16">
        <v>16</v>
      </c>
    </row>
    <row r="97" spans="2:13" x14ac:dyDescent="0.3">
      <c r="B97" s="68" t="s">
        <v>69</v>
      </c>
      <c r="C97" s="78">
        <v>46</v>
      </c>
      <c r="D97" s="21">
        <f>31.4+17.1</f>
        <v>48.5</v>
      </c>
      <c r="E97" s="30">
        <f t="shared" si="9"/>
        <v>5.4347826086956541E-2</v>
      </c>
      <c r="F97" s="70">
        <v>33</v>
      </c>
      <c r="G97" s="21">
        <f>34.6</f>
        <v>34.6</v>
      </c>
      <c r="H97" s="30">
        <f t="shared" si="10"/>
        <v>4.8484848484848575E-2</v>
      </c>
      <c r="I97" s="70">
        <v>29</v>
      </c>
      <c r="J97" s="21">
        <v>29.8</v>
      </c>
      <c r="K97" s="109">
        <f t="shared" si="11"/>
        <v>2.7586206896551779E-2</v>
      </c>
      <c r="L97" s="80">
        <v>1</v>
      </c>
      <c r="M97" s="16">
        <v>0.2</v>
      </c>
    </row>
    <row r="98" spans="2:13" x14ac:dyDescent="0.3">
      <c r="B98" s="68" t="s">
        <v>70</v>
      </c>
      <c r="C98" s="78">
        <v>88</v>
      </c>
      <c r="D98" s="21">
        <f>60+32</f>
        <v>92</v>
      </c>
      <c r="E98" s="30">
        <f t="shared" si="9"/>
        <v>4.5454545454545414E-2</v>
      </c>
      <c r="F98" s="70">
        <v>208</v>
      </c>
      <c r="G98" s="21">
        <f>218.9</f>
        <v>218.9</v>
      </c>
      <c r="H98" s="30">
        <f t="shared" si="10"/>
        <v>5.2403846153846079E-2</v>
      </c>
      <c r="I98" s="70">
        <v>341</v>
      </c>
      <c r="J98" s="21">
        <v>345.1</v>
      </c>
      <c r="K98" s="109">
        <f t="shared" si="11"/>
        <v>1.2023460410557352E-2</v>
      </c>
      <c r="L98" s="80">
        <v>6</v>
      </c>
      <c r="M98" s="16">
        <v>3.6</v>
      </c>
    </row>
    <row r="99" spans="2:13" x14ac:dyDescent="0.3">
      <c r="B99" s="68" t="s">
        <v>537</v>
      </c>
      <c r="C99" s="78">
        <v>64</v>
      </c>
      <c r="D99" s="21">
        <f>67.5</f>
        <v>67.5</v>
      </c>
      <c r="E99" s="30">
        <f t="shared" si="9"/>
        <v>5.46875E-2</v>
      </c>
      <c r="F99" s="70">
        <v>34</v>
      </c>
      <c r="G99" s="21">
        <v>35.799999999999997</v>
      </c>
      <c r="H99" s="30">
        <f t="shared" si="10"/>
        <v>5.2941176470588047E-2</v>
      </c>
      <c r="I99" s="70">
        <v>246</v>
      </c>
      <c r="J99" s="21">
        <v>242.6</v>
      </c>
      <c r="K99" s="109">
        <f t="shared" si="11"/>
        <v>-1.3821138211382089E-2</v>
      </c>
      <c r="L99" s="80">
        <v>0</v>
      </c>
      <c r="M99" s="16">
        <v>0.1</v>
      </c>
    </row>
    <row r="100" spans="2:13" x14ac:dyDescent="0.3">
      <c r="B100" s="68" t="s">
        <v>539</v>
      </c>
      <c r="C100" s="78">
        <v>14</v>
      </c>
      <c r="D100" s="21">
        <f t="shared" ref="D100" si="12">C100*1.05</f>
        <v>14.700000000000001</v>
      </c>
      <c r="E100" s="30">
        <f t="shared" si="9"/>
        <v>5.0000000000000044E-2</v>
      </c>
      <c r="F100" s="70">
        <v>68</v>
      </c>
      <c r="G100" s="21">
        <v>71.599999999999994</v>
      </c>
      <c r="H100" s="30">
        <f t="shared" si="10"/>
        <v>5.2941176470588047E-2</v>
      </c>
      <c r="I100" s="70">
        <v>102</v>
      </c>
      <c r="J100" s="21">
        <v>100.7</v>
      </c>
      <c r="K100" s="109">
        <f t="shared" si="11"/>
        <v>-1.2745098039215641E-2</v>
      </c>
      <c r="L100" s="80">
        <v>1</v>
      </c>
      <c r="M100" s="16">
        <v>0.3</v>
      </c>
    </row>
    <row r="101" spans="2:13" x14ac:dyDescent="0.3">
      <c r="B101" s="69" t="s">
        <v>538</v>
      </c>
      <c r="C101" s="79">
        <v>44</v>
      </c>
      <c r="D101" s="21">
        <v>46.3</v>
      </c>
      <c r="E101" s="30">
        <f t="shared" si="9"/>
        <v>5.2272727272727249E-2</v>
      </c>
      <c r="F101" s="71">
        <v>35</v>
      </c>
      <c r="G101" s="21">
        <v>36.799999999999997</v>
      </c>
      <c r="H101" s="30">
        <f t="shared" si="10"/>
        <v>5.1428571428571379E-2</v>
      </c>
      <c r="I101" s="71">
        <v>21</v>
      </c>
      <c r="J101" s="22">
        <v>24.1</v>
      </c>
      <c r="K101" s="109">
        <f t="shared" si="11"/>
        <v>0.14761904761904776</v>
      </c>
      <c r="L101" s="81">
        <v>12</v>
      </c>
      <c r="M101" s="18">
        <v>6.4</v>
      </c>
    </row>
    <row r="102" spans="2:13" x14ac:dyDescent="0.3">
      <c r="H102" s="109"/>
    </row>
    <row r="104" spans="2:13" ht="15" thickBot="1" x14ac:dyDescent="0.35"/>
    <row r="105" spans="2:13" x14ac:dyDescent="0.3">
      <c r="B105" s="97" t="s">
        <v>623</v>
      </c>
      <c r="C105" s="99" t="s">
        <v>584</v>
      </c>
      <c r="D105" s="84" t="s">
        <v>585</v>
      </c>
      <c r="E105" s="85" t="s">
        <v>586</v>
      </c>
      <c r="F105" s="83" t="s">
        <v>587</v>
      </c>
      <c r="G105" s="84" t="s">
        <v>588</v>
      </c>
      <c r="H105" s="85" t="s">
        <v>589</v>
      </c>
      <c r="I105" s="104" t="s">
        <v>590</v>
      </c>
      <c r="J105" s="85" t="s">
        <v>591</v>
      </c>
    </row>
    <row r="106" spans="2:13" x14ac:dyDescent="0.3">
      <c r="B106" s="98" t="s">
        <v>64</v>
      </c>
      <c r="C106" s="100">
        <v>17</v>
      </c>
      <c r="D106" s="87">
        <v>17</v>
      </c>
      <c r="E106" s="88">
        <v>22.09</v>
      </c>
      <c r="F106" s="86">
        <v>4</v>
      </c>
      <c r="G106" s="87">
        <v>4</v>
      </c>
      <c r="H106" s="88">
        <v>6.36</v>
      </c>
      <c r="I106" s="105">
        <v>49</v>
      </c>
      <c r="J106" s="88">
        <v>27.23</v>
      </c>
    </row>
    <row r="107" spans="2:13" x14ac:dyDescent="0.3">
      <c r="B107" s="98" t="s">
        <v>66</v>
      </c>
      <c r="C107" s="101">
        <v>-15</v>
      </c>
      <c r="D107" s="70">
        <f>C107</f>
        <v>-15</v>
      </c>
      <c r="E107" s="88">
        <v>4.37</v>
      </c>
      <c r="F107" s="89">
        <v>3</v>
      </c>
      <c r="G107" s="70">
        <f>F107+17</f>
        <v>20</v>
      </c>
      <c r="H107" s="88">
        <v>4.9800000000000004</v>
      </c>
      <c r="I107" s="106">
        <v>10</v>
      </c>
      <c r="J107" s="88">
        <v>5.95</v>
      </c>
    </row>
    <row r="108" spans="2:13" x14ac:dyDescent="0.3">
      <c r="B108" s="98" t="s">
        <v>67</v>
      </c>
      <c r="C108" s="101">
        <v>-39</v>
      </c>
      <c r="D108" s="70">
        <f>C108-5</f>
        <v>-44</v>
      </c>
      <c r="E108" s="88">
        <v>-44</v>
      </c>
      <c r="F108" s="89">
        <v>-33</v>
      </c>
      <c r="G108" s="70">
        <f>F108+16.7</f>
        <v>-16.3</v>
      </c>
      <c r="H108" s="88">
        <v>-29.67</v>
      </c>
      <c r="I108" s="106">
        <v>-17</v>
      </c>
      <c r="J108" s="88">
        <v>-8.86</v>
      </c>
    </row>
    <row r="109" spans="2:13" x14ac:dyDescent="0.3">
      <c r="B109" s="98" t="s">
        <v>68</v>
      </c>
      <c r="C109" s="101">
        <v>1</v>
      </c>
      <c r="D109" s="70">
        <v>1</v>
      </c>
      <c r="E109" s="110">
        <v>4.05</v>
      </c>
      <c r="F109" s="89">
        <v>3</v>
      </c>
      <c r="G109" s="70">
        <f>F109+3.2</f>
        <v>6.2</v>
      </c>
      <c r="H109" s="88">
        <v>12.31</v>
      </c>
      <c r="I109" s="106">
        <v>12</v>
      </c>
      <c r="J109" s="88">
        <v>-5.2</v>
      </c>
    </row>
    <row r="110" spans="2:13" x14ac:dyDescent="0.3">
      <c r="B110" s="98" t="s">
        <v>65</v>
      </c>
      <c r="C110" s="101">
        <v>9</v>
      </c>
      <c r="D110" s="70">
        <f>C110-10</f>
        <v>-1</v>
      </c>
      <c r="E110" s="88">
        <v>30.34</v>
      </c>
      <c r="F110" s="89">
        <v>-80</v>
      </c>
      <c r="G110" s="70">
        <f>F110+76.4</f>
        <v>-3.5999999999999943</v>
      </c>
      <c r="H110" s="88">
        <v>-18.260000000000002</v>
      </c>
      <c r="I110" s="106">
        <v>29</v>
      </c>
      <c r="J110" s="88">
        <v>18.09</v>
      </c>
    </row>
    <row r="111" spans="2:13" x14ac:dyDescent="0.3">
      <c r="B111" s="98" t="s">
        <v>69</v>
      </c>
      <c r="C111" s="101">
        <v>-34</v>
      </c>
      <c r="D111" s="70">
        <f>C111-2.4</f>
        <v>-36.4</v>
      </c>
      <c r="E111" s="88">
        <v>-37</v>
      </c>
      <c r="F111" s="89">
        <v>-48</v>
      </c>
      <c r="G111" s="70">
        <f>F111+19.6</f>
        <v>-28.4</v>
      </c>
      <c r="H111" s="88">
        <v>-31.02</v>
      </c>
      <c r="I111" s="106">
        <v>-13</v>
      </c>
      <c r="J111" s="88">
        <v>-24.09</v>
      </c>
    </row>
    <row r="112" spans="2:13" x14ac:dyDescent="0.3">
      <c r="B112" s="98" t="s">
        <v>70</v>
      </c>
      <c r="C112" s="101">
        <v>-50</v>
      </c>
      <c r="D112" s="70">
        <f>C112-6.5</f>
        <v>-56.5</v>
      </c>
      <c r="E112" s="88">
        <v>-40.93</v>
      </c>
      <c r="F112" s="89">
        <v>4</v>
      </c>
      <c r="G112" s="70">
        <f>F112+15.6</f>
        <v>19.600000000000001</v>
      </c>
      <c r="H112" s="88">
        <v>-2.99</v>
      </c>
      <c r="I112" s="106">
        <v>-24</v>
      </c>
      <c r="J112" s="88">
        <v>-20.49</v>
      </c>
    </row>
    <row r="113" spans="2:10" x14ac:dyDescent="0.3">
      <c r="B113" s="98" t="s">
        <v>537</v>
      </c>
      <c r="C113" s="101">
        <v>-72</v>
      </c>
      <c r="D113" s="70">
        <f>C113-2.7</f>
        <v>-74.7</v>
      </c>
      <c r="E113" s="88">
        <v>-47.68</v>
      </c>
      <c r="F113" s="89">
        <v>6</v>
      </c>
      <c r="G113" s="70">
        <f>F113+34.3</f>
        <v>40.299999999999997</v>
      </c>
      <c r="H113" s="88">
        <v>6.64</v>
      </c>
      <c r="I113" s="106">
        <v>9</v>
      </c>
      <c r="J113" s="88">
        <v>-4.28</v>
      </c>
    </row>
    <row r="114" spans="2:10" x14ac:dyDescent="0.3">
      <c r="B114" s="98" t="s">
        <v>539</v>
      </c>
      <c r="C114" s="101">
        <v>9</v>
      </c>
      <c r="D114" s="70">
        <f>C114-0.4</f>
        <v>8.6</v>
      </c>
      <c r="E114" s="88">
        <v>29.05</v>
      </c>
      <c r="F114" s="89">
        <v>62</v>
      </c>
      <c r="G114" s="70">
        <f>F114+1.1</f>
        <v>63.1</v>
      </c>
      <c r="H114" s="88">
        <v>35.93</v>
      </c>
      <c r="I114" s="106">
        <v>21</v>
      </c>
      <c r="J114" s="88">
        <v>12.67</v>
      </c>
    </row>
    <row r="115" spans="2:10" x14ac:dyDescent="0.3">
      <c r="B115" s="73" t="s">
        <v>538</v>
      </c>
      <c r="C115" s="103">
        <v>4</v>
      </c>
      <c r="D115" s="71">
        <v>4</v>
      </c>
      <c r="E115" s="91">
        <v>4.12</v>
      </c>
      <c r="F115" s="90">
        <v>15</v>
      </c>
      <c r="G115" s="71">
        <f>F115+2</f>
        <v>17</v>
      </c>
      <c r="H115" s="91">
        <v>15.72</v>
      </c>
      <c r="I115" s="107">
        <v>5</v>
      </c>
      <c r="J115" s="91">
        <v>-0.96</v>
      </c>
    </row>
    <row r="116" spans="2:10" x14ac:dyDescent="0.3">
      <c r="B116" s="72" t="s">
        <v>600</v>
      </c>
      <c r="C116" s="92">
        <f>SUM(C106:C115)</f>
        <v>-170</v>
      </c>
      <c r="D116" s="72">
        <f t="shared" ref="D116:J116" si="13">SUM(D106:D115)</f>
        <v>-197.00000000000003</v>
      </c>
      <c r="E116" s="93">
        <f t="shared" si="13"/>
        <v>-75.589999999999989</v>
      </c>
      <c r="F116" s="92">
        <f t="shared" si="13"/>
        <v>-64</v>
      </c>
      <c r="G116" s="72">
        <f t="shared" si="13"/>
        <v>121.9</v>
      </c>
      <c r="H116" s="108">
        <f t="shared" si="13"/>
        <v>0</v>
      </c>
      <c r="I116" s="92">
        <f t="shared" si="13"/>
        <v>81</v>
      </c>
      <c r="J116" s="108">
        <f t="shared" si="13"/>
        <v>6.0000000000001386E-2</v>
      </c>
    </row>
    <row r="117" spans="2:10" ht="15" thickBot="1" x14ac:dyDescent="0.35">
      <c r="B117" s="73" t="s">
        <v>592</v>
      </c>
      <c r="C117" s="94" t="s">
        <v>595</v>
      </c>
      <c r="D117" s="95" t="s">
        <v>596</v>
      </c>
      <c r="E117" s="96">
        <f>D116-E116</f>
        <v>-121.41000000000004</v>
      </c>
      <c r="F117" s="94" t="s">
        <v>597</v>
      </c>
      <c r="G117" s="95" t="s">
        <v>598</v>
      </c>
      <c r="H117" s="96">
        <f>G116-H116</f>
        <v>121.9</v>
      </c>
      <c r="I117" s="94" t="s">
        <v>599</v>
      </c>
      <c r="J117" s="96">
        <f>I116</f>
        <v>81</v>
      </c>
    </row>
  </sheetData>
  <mergeCells count="9">
    <mergeCell ref="B90:B91"/>
    <mergeCell ref="C90:J90"/>
    <mergeCell ref="B66:B67"/>
    <mergeCell ref="C66:J66"/>
    <mergeCell ref="B21:B22"/>
    <mergeCell ref="C21:F21"/>
    <mergeCell ref="G21:J21"/>
    <mergeCell ref="B52:B53"/>
    <mergeCell ref="C52:J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Plages nommées</vt:lpstr>
      </vt:variant>
      <vt:variant>
        <vt:i4>1</vt:i4>
      </vt:variant>
    </vt:vector>
  </HeadingPairs>
  <TitlesOfParts>
    <vt:vector size="24" baseType="lpstr">
      <vt:lpstr>Légende - Sources</vt:lpstr>
      <vt:lpstr>ACCUEIL</vt:lpstr>
      <vt:lpstr>Data_EOLES</vt:lpstr>
      <vt:lpstr>traitement_nW_EOLES</vt:lpstr>
      <vt:lpstr>create_demand_param</vt:lpstr>
      <vt:lpstr>Constants</vt:lpstr>
      <vt:lpstr>Costs</vt:lpstr>
      <vt:lpstr>fuel_prices</vt:lpstr>
      <vt:lpstr>tech_parameters</vt:lpstr>
      <vt:lpstr>reserve</vt:lpstr>
      <vt:lpstr>exist_cap</vt:lpstr>
      <vt:lpstr>exist_en_cap</vt:lpstr>
      <vt:lpstr>min_cap</vt:lpstr>
      <vt:lpstr>min_en_cap</vt:lpstr>
      <vt:lpstr>fix_cap</vt:lpstr>
      <vt:lpstr>fix_en_cap</vt:lpstr>
      <vt:lpstr>biogas_potential</vt:lpstr>
      <vt:lpstr>max_cap</vt:lpstr>
      <vt:lpstr>max_en_cap</vt:lpstr>
      <vt:lpstr>links</vt:lpstr>
      <vt:lpstr>demande_EU</vt:lpstr>
      <vt:lpstr>calculs_intermédiaires</vt:lpstr>
      <vt:lpstr>bilans</vt:lpstr>
      <vt:lpstr>year_simulated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hadrien monchal</dc:creator>
  <cp:lastModifiedBy>hadrien monchal</cp:lastModifiedBy>
  <dcterms:created xsi:type="dcterms:W3CDTF">2015-06-05T18:19:34Z</dcterms:created>
  <dcterms:modified xsi:type="dcterms:W3CDTF">2026-07-29T09:26:23Z</dcterms:modified>
</cp:coreProperties>
</file>